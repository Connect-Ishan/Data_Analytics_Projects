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shan\Downloads\"/>
    </mc:Choice>
  </mc:AlternateContent>
  <xr:revisionPtr revIDLastSave="0" documentId="8_{783D5121-DBC3-4D5B-95FE-E7A36EAC628D}" xr6:coauthVersionLast="47" xr6:coauthVersionMax="47" xr10:uidLastSave="{00000000-0000-0000-0000-000000000000}"/>
  <bookViews>
    <workbookView xWindow="-108" yWindow="-108" windowWidth="23256" windowHeight="12456" firstSheet="4" activeTab="6" xr2:uid="{D0AD8A34-6CE9-41CF-9252-97A4762C1E40}"/>
  </bookViews>
  <sheets>
    <sheet name="Multiplier-Input Oriented Model" sheetId="1" r:id="rId1"/>
    <sheet name="Multiplier-Input Oriented - Imp" sheetId="2" r:id="rId2"/>
    <sheet name="Multiplier-Output Oriented" sheetId="3" r:id="rId3"/>
    <sheet name="Envelopment Model-Input Oriente" sheetId="4" r:id="rId4"/>
    <sheet name="Envelopment Model-Output Orient" sheetId="6" r:id="rId5"/>
    <sheet name="Envelopment Model-Input (Sup Ef" sheetId="7" r:id="rId6"/>
    <sheet name="Envelopment Model-Output Super" sheetId="8" r:id="rId7"/>
  </sheets>
  <definedNames>
    <definedName name="solver_adj" localSheetId="5" hidden="1">'Envelopment Model-Input (Sup Ef'!$N$2:$N$24,'Envelopment Model-Input (Sup Ef'!$K$29</definedName>
    <definedName name="solver_adj" localSheetId="3" hidden="1">'Envelopment Model-Input Oriente'!$N$2:$N$24,'Envelopment Model-Input Oriente'!$K$29</definedName>
    <definedName name="solver_adj" localSheetId="4" hidden="1">'Envelopment Model-Output Orient'!$N$2:$N$24,'Envelopment Model-Output Orient'!$K$29</definedName>
    <definedName name="solver_adj" localSheetId="6" hidden="1">'Envelopment Model-Output Super'!$N$2:$N$24,'Envelopment Model-Output Super'!$K$29</definedName>
    <definedName name="solver_adj" localSheetId="1" hidden="1">'Multiplier-Input Oriented - Imp'!$J$26:$O$26,'Multiplier-Input Oriented - Imp'!$Q$26:$T$26</definedName>
    <definedName name="solver_adj" localSheetId="0" hidden="1">'Multiplier-Input Oriented Model'!$B$26:$G$26,'Multiplier-Input Oriented Model'!$I$26:$L$26</definedName>
    <definedName name="solver_adj" localSheetId="2" hidden="1">'Multiplier-Output Oriented'!$B$26:$G$26,'Multiplier-Output Oriented'!$I$26:$L$26</definedName>
    <definedName name="solver_cvg" localSheetId="5" hidden="1">0.0001</definedName>
    <definedName name="solver_cvg" localSheetId="3" hidden="1">0.0001</definedName>
    <definedName name="solver_cvg" localSheetId="4" hidden="1">0.0001</definedName>
    <definedName name="solver_cvg" localSheetId="6" hidden="1">0.0001</definedName>
    <definedName name="solver_cvg" localSheetId="1" hidden="1">0.0001</definedName>
    <definedName name="solver_cvg" localSheetId="0" hidden="1">0.0001</definedName>
    <definedName name="solver_cvg" localSheetId="2" hidden="1">0.0001</definedName>
    <definedName name="solver_drv" localSheetId="5" hidden="1">2</definedName>
    <definedName name="solver_drv" localSheetId="3" hidden="1">2</definedName>
    <definedName name="solver_drv" localSheetId="4" hidden="1">2</definedName>
    <definedName name="solver_drv" localSheetId="6" hidden="1">2</definedName>
    <definedName name="solver_drv" localSheetId="1" hidden="1">2</definedName>
    <definedName name="solver_drv" localSheetId="0" hidden="1">2</definedName>
    <definedName name="solver_drv" localSheetId="2" hidden="1">2</definedName>
    <definedName name="solver_eng" localSheetId="5" hidden="1">2</definedName>
    <definedName name="solver_eng" localSheetId="3" hidden="1">2</definedName>
    <definedName name="solver_eng" localSheetId="4" hidden="1">2</definedName>
    <definedName name="solver_eng" localSheetId="6" hidden="1">2</definedName>
    <definedName name="solver_eng" localSheetId="1" hidden="1">2</definedName>
    <definedName name="solver_eng" localSheetId="0" hidden="1">2</definedName>
    <definedName name="solver_eng" localSheetId="2" hidden="1">2</definedName>
    <definedName name="solver_est" localSheetId="5" hidden="1">1</definedName>
    <definedName name="solver_est" localSheetId="3" hidden="1">1</definedName>
    <definedName name="solver_est" localSheetId="4" hidden="1">1</definedName>
    <definedName name="solver_est" localSheetId="6" hidden="1">1</definedName>
    <definedName name="solver_est" localSheetId="1" hidden="1">1</definedName>
    <definedName name="solver_est" localSheetId="0" hidden="1">1</definedName>
    <definedName name="solver_est" localSheetId="2" hidden="1">1</definedName>
    <definedName name="solver_itr" localSheetId="5" hidden="1">2147483647</definedName>
    <definedName name="solver_itr" localSheetId="3" hidden="1">2147483647</definedName>
    <definedName name="solver_itr" localSheetId="4" hidden="1">2147483647</definedName>
    <definedName name="solver_itr" localSheetId="6" hidden="1">2147483647</definedName>
    <definedName name="solver_itr" localSheetId="1" hidden="1">2147483647</definedName>
    <definedName name="solver_itr" localSheetId="0" hidden="1">2147483647</definedName>
    <definedName name="solver_itr" localSheetId="2" hidden="1">2147483647</definedName>
    <definedName name="solver_lhs1" localSheetId="5" hidden="1">'Envelopment Model-Input (Sup Ef'!$B$29:$B$34</definedName>
    <definedName name="solver_lhs1" localSheetId="3" hidden="1">'Envelopment Model-Input Oriente'!$B$29:$B$34</definedName>
    <definedName name="solver_lhs1" localSheetId="4" hidden="1">'Envelopment Model-Output Orient'!$B$29:$B$34</definedName>
    <definedName name="solver_lhs1" localSheetId="6" hidden="1">'Envelopment Model-Output Super'!$B$29:$B$34</definedName>
    <definedName name="solver_lhs1" localSheetId="1" hidden="1">'Multiplier-Input Oriented - Imp'!$B$29</definedName>
    <definedName name="solver_lhs1" localSheetId="0" hidden="1">'Multiplier-Input Oriented Model'!$B$29</definedName>
    <definedName name="solver_lhs1" localSheetId="2" hidden="1">'Multiplier-Output Oriented'!$B$30</definedName>
    <definedName name="solver_lhs2" localSheetId="5" hidden="1">'Envelopment Model-Input (Sup Ef'!$B$35:$B$38</definedName>
    <definedName name="solver_lhs2" localSheetId="3" hidden="1">'Envelopment Model-Input Oriente'!$B$35:$B$38</definedName>
    <definedName name="solver_lhs2" localSheetId="4" hidden="1">'Envelopment Model-Output Orient'!$B$35:$B$38</definedName>
    <definedName name="solver_lhs2" localSheetId="6" hidden="1">'Envelopment Model-Output Super'!$B$35:$B$38</definedName>
    <definedName name="solver_lhs2" localSheetId="1" hidden="1">'Multiplier-Input Oriented - Imp'!$W$2:$W$24</definedName>
    <definedName name="solver_lhs2" localSheetId="0" hidden="1">'Multiplier-Input Oriented Model'!$O$2:$O$24</definedName>
    <definedName name="solver_lhs2" localSheetId="2" hidden="1">'Multiplier-Output Oriented'!$O$2:$O$24</definedName>
    <definedName name="solver_lhs3" localSheetId="5" hidden="1">'Envelopment Model-Input (Sup Ef'!$B$39</definedName>
    <definedName name="solver_lhs3" localSheetId="3" hidden="1">'Envelopment Model-Input Oriente'!$N$26</definedName>
    <definedName name="solver_lhs3" localSheetId="4" hidden="1">'Envelopment Model-Output Orient'!$N$26</definedName>
    <definedName name="solver_lhs3" localSheetId="6" hidden="1">'Envelopment Model-Output Super'!$B$39</definedName>
    <definedName name="solver_lhs4" localSheetId="5" hidden="1">'Envelopment Model-Input (Sup Ef'!$N$26</definedName>
    <definedName name="solver_lhs4" localSheetId="6" hidden="1">'Envelopment Model-Output Super'!$N$26</definedName>
    <definedName name="solver_lhs5" localSheetId="6" hidden="1">'Envelopment Model-Output Super'!$N$26</definedName>
    <definedName name="solver_mip" localSheetId="5" hidden="1">2147483647</definedName>
    <definedName name="solver_mip" localSheetId="3" hidden="1">2147483647</definedName>
    <definedName name="solver_mip" localSheetId="4" hidden="1">2147483647</definedName>
    <definedName name="solver_mip" localSheetId="6" hidden="1">2147483647</definedName>
    <definedName name="solver_mip" localSheetId="1" hidden="1">2147483647</definedName>
    <definedName name="solver_mip" localSheetId="0" hidden="1">2147483647</definedName>
    <definedName name="solver_mip" localSheetId="2" hidden="1">2147483647</definedName>
    <definedName name="solver_mni" localSheetId="5" hidden="1">30</definedName>
    <definedName name="solver_mni" localSheetId="3" hidden="1">30</definedName>
    <definedName name="solver_mni" localSheetId="4" hidden="1">30</definedName>
    <definedName name="solver_mni" localSheetId="6" hidden="1">30</definedName>
    <definedName name="solver_mni" localSheetId="1" hidden="1">30</definedName>
    <definedName name="solver_mni" localSheetId="0" hidden="1">30</definedName>
    <definedName name="solver_mni" localSheetId="2" hidden="1">30</definedName>
    <definedName name="solver_mrt" localSheetId="5" hidden="1">0.075</definedName>
    <definedName name="solver_mrt" localSheetId="3" hidden="1">0.075</definedName>
    <definedName name="solver_mrt" localSheetId="4" hidden="1">0.075</definedName>
    <definedName name="solver_mrt" localSheetId="6" hidden="1">0.075</definedName>
    <definedName name="solver_mrt" localSheetId="1" hidden="1">0.075</definedName>
    <definedName name="solver_mrt" localSheetId="0" hidden="1">0.075</definedName>
    <definedName name="solver_mrt" localSheetId="2" hidden="1">0.075</definedName>
    <definedName name="solver_msl" localSheetId="5" hidden="1">2</definedName>
    <definedName name="solver_msl" localSheetId="3" hidden="1">2</definedName>
    <definedName name="solver_msl" localSheetId="4" hidden="1">2</definedName>
    <definedName name="solver_msl" localSheetId="6" hidden="1">2</definedName>
    <definedName name="solver_msl" localSheetId="1" hidden="1">2</definedName>
    <definedName name="solver_msl" localSheetId="0" hidden="1">2</definedName>
    <definedName name="solver_msl" localSheetId="2" hidden="1">2</definedName>
    <definedName name="solver_neg" localSheetId="5" hidden="1">1</definedName>
    <definedName name="solver_neg" localSheetId="3" hidden="1">1</definedName>
    <definedName name="solver_neg" localSheetId="4" hidden="1">1</definedName>
    <definedName name="solver_neg" localSheetId="6" hidden="1">1</definedName>
    <definedName name="solver_neg" localSheetId="1" hidden="1">1</definedName>
    <definedName name="solver_neg" localSheetId="0" hidden="1">1</definedName>
    <definedName name="solver_neg" localSheetId="2" hidden="1">1</definedName>
    <definedName name="solver_nod" localSheetId="5" hidden="1">2147483647</definedName>
    <definedName name="solver_nod" localSheetId="3" hidden="1">2147483647</definedName>
    <definedName name="solver_nod" localSheetId="4" hidden="1">2147483647</definedName>
    <definedName name="solver_nod" localSheetId="6" hidden="1">2147483647</definedName>
    <definedName name="solver_nod" localSheetId="1" hidden="1">2147483647</definedName>
    <definedName name="solver_nod" localSheetId="0" hidden="1">2147483647</definedName>
    <definedName name="solver_nod" localSheetId="2" hidden="1">2147483647</definedName>
    <definedName name="solver_num" localSheetId="5" hidden="1">4</definedName>
    <definedName name="solver_num" localSheetId="3" hidden="1">3</definedName>
    <definedName name="solver_num" localSheetId="4" hidden="1">3</definedName>
    <definedName name="solver_num" localSheetId="6" hidden="1">4</definedName>
    <definedName name="solver_num" localSheetId="1" hidden="1">2</definedName>
    <definedName name="solver_num" localSheetId="0" hidden="1">2</definedName>
    <definedName name="solver_num" localSheetId="2" hidden="1">2</definedName>
    <definedName name="solver_nwt" localSheetId="5" hidden="1">1</definedName>
    <definedName name="solver_nwt" localSheetId="3" hidden="1">1</definedName>
    <definedName name="solver_nwt" localSheetId="4" hidden="1">1</definedName>
    <definedName name="solver_nwt" localSheetId="6" hidden="1">1</definedName>
    <definedName name="solver_nwt" localSheetId="1" hidden="1">1</definedName>
    <definedName name="solver_nwt" localSheetId="0" hidden="1">1</definedName>
    <definedName name="solver_nwt" localSheetId="2" hidden="1">1</definedName>
    <definedName name="solver_opt" localSheetId="5" hidden="1">'Envelopment Model-Input (Sup Ef'!$K$29</definedName>
    <definedName name="solver_opt" localSheetId="3" hidden="1">'Envelopment Model-Input Oriente'!$K$29</definedName>
    <definedName name="solver_opt" localSheetId="4" hidden="1">'Envelopment Model-Output Orient'!$K$29</definedName>
    <definedName name="solver_opt" localSheetId="6" hidden="1">'Envelopment Model-Output Super'!$K$29</definedName>
    <definedName name="solver_opt" localSheetId="1" hidden="1">'Multiplier-Input Oriented - Imp'!$B$30</definedName>
    <definedName name="solver_opt" localSheetId="0" hidden="1">'Multiplier-Input Oriented Model'!$B$30</definedName>
    <definedName name="solver_opt" localSheetId="2" hidden="1">'Multiplier-Output Oriented'!$B$29</definedName>
    <definedName name="solver_pre" localSheetId="5" hidden="1">0.000001</definedName>
    <definedName name="solver_pre" localSheetId="3" hidden="1">0.000001</definedName>
    <definedName name="solver_pre" localSheetId="4" hidden="1">0.000001</definedName>
    <definedName name="solver_pre" localSheetId="6" hidden="1">0.000001</definedName>
    <definedName name="solver_pre" localSheetId="1" hidden="1">0.000001</definedName>
    <definedName name="solver_pre" localSheetId="0" hidden="1">0.000001</definedName>
    <definedName name="solver_pre" localSheetId="2" hidden="1">0.000001</definedName>
    <definedName name="solver_rbv" localSheetId="5" hidden="1">2</definedName>
    <definedName name="solver_rbv" localSheetId="3" hidden="1">2</definedName>
    <definedName name="solver_rbv" localSheetId="4" hidden="1">2</definedName>
    <definedName name="solver_rbv" localSheetId="6" hidden="1">2</definedName>
    <definedName name="solver_rbv" localSheetId="1" hidden="1">2</definedName>
    <definedName name="solver_rbv" localSheetId="0" hidden="1">2</definedName>
    <definedName name="solver_rbv" localSheetId="2" hidden="1">2</definedName>
    <definedName name="solver_rel1" localSheetId="5" hidden="1">1</definedName>
    <definedName name="solver_rel1" localSheetId="3" hidden="1">1</definedName>
    <definedName name="solver_rel1" localSheetId="4" hidden="1">1</definedName>
    <definedName name="solver_rel1" localSheetId="6" hidden="1">1</definedName>
    <definedName name="solver_rel1" localSheetId="1" hidden="1">2</definedName>
    <definedName name="solver_rel1" localSheetId="0" hidden="1">2</definedName>
    <definedName name="solver_rel1" localSheetId="2" hidden="1">2</definedName>
    <definedName name="solver_rel2" localSheetId="5" hidden="1">3</definedName>
    <definedName name="solver_rel2" localSheetId="3" hidden="1">3</definedName>
    <definedName name="solver_rel2" localSheetId="4" hidden="1">3</definedName>
    <definedName name="solver_rel2" localSheetId="6" hidden="1">3</definedName>
    <definedName name="solver_rel2" localSheetId="1" hidden="1">1</definedName>
    <definedName name="solver_rel2" localSheetId="0" hidden="1">1</definedName>
    <definedName name="solver_rel2" localSheetId="2" hidden="1">3</definedName>
    <definedName name="solver_rel3" localSheetId="5" hidden="1">2</definedName>
    <definedName name="solver_rel3" localSheetId="3" hidden="1">2</definedName>
    <definedName name="solver_rel3" localSheetId="4" hidden="1">2</definedName>
    <definedName name="solver_rel3" localSheetId="6" hidden="1">2</definedName>
    <definedName name="solver_rel4" localSheetId="5" hidden="1">2</definedName>
    <definedName name="solver_rel4" localSheetId="6" hidden="1">2</definedName>
    <definedName name="solver_rel5" localSheetId="6" hidden="1">2</definedName>
    <definedName name="solver_rhs1" localSheetId="5" hidden="1">'Envelopment Model-Input (Sup Ef'!$D$29:$D$34</definedName>
    <definedName name="solver_rhs1" localSheetId="3" hidden="1">'Envelopment Model-Input Oriente'!$D$29:$D$34</definedName>
    <definedName name="solver_rhs1" localSheetId="4" hidden="1">'Envelopment Model-Output Orient'!$D$29:$D$34</definedName>
    <definedName name="solver_rhs1" localSheetId="6" hidden="1">'Envelopment Model-Output Super'!$D$29:$D$34</definedName>
    <definedName name="solver_rhs1" localSheetId="1" hidden="1">1</definedName>
    <definedName name="solver_rhs1" localSheetId="0" hidden="1">1</definedName>
    <definedName name="solver_rhs1" localSheetId="2" hidden="1">1</definedName>
    <definedName name="solver_rhs2" localSheetId="5" hidden="1">'Envelopment Model-Input (Sup Ef'!$D$35:$D$38</definedName>
    <definedName name="solver_rhs2" localSheetId="3" hidden="1">'Envelopment Model-Input Oriente'!$D$35:$D$38</definedName>
    <definedName name="solver_rhs2" localSheetId="4" hidden="1">'Envelopment Model-Output Orient'!$D$35:$D$38</definedName>
    <definedName name="solver_rhs2" localSheetId="6" hidden="1">'Envelopment Model-Output Super'!$D$35:$D$38</definedName>
    <definedName name="solver_rhs2" localSheetId="1" hidden="1">'Multiplier-Input Oriented - Imp'!$V$2:$V$24</definedName>
    <definedName name="solver_rhs2" localSheetId="0" hidden="1">'Multiplier-Input Oriented Model'!$N$2:$N$24</definedName>
    <definedName name="solver_rhs2" localSheetId="2" hidden="1">'Multiplier-Output Oriented'!$N$2:$N$24</definedName>
    <definedName name="solver_rhs3" localSheetId="5" hidden="1">0</definedName>
    <definedName name="solver_rhs3" localSheetId="3" hidden="1">1</definedName>
    <definedName name="solver_rhs3" localSheetId="4" hidden="1">1</definedName>
    <definedName name="solver_rhs3" localSheetId="6" hidden="1">'Envelopment Model-Output Super'!$D$39</definedName>
    <definedName name="solver_rhs4" localSheetId="5" hidden="1">1</definedName>
    <definedName name="solver_rhs4" localSheetId="6" hidden="1">1</definedName>
    <definedName name="solver_rhs5" localSheetId="6" hidden="1">1</definedName>
    <definedName name="solver_rlx" localSheetId="5" hidden="1">2</definedName>
    <definedName name="solver_rlx" localSheetId="3" hidden="1">2</definedName>
    <definedName name="solver_rlx" localSheetId="4" hidden="1">2</definedName>
    <definedName name="solver_rlx" localSheetId="6" hidden="1">2</definedName>
    <definedName name="solver_rlx" localSheetId="1" hidden="1">2</definedName>
    <definedName name="solver_rlx" localSheetId="0" hidden="1">2</definedName>
    <definedName name="solver_rlx" localSheetId="2" hidden="1">2</definedName>
    <definedName name="solver_rsd" localSheetId="5" hidden="1">0</definedName>
    <definedName name="solver_rsd" localSheetId="3" hidden="1">0</definedName>
    <definedName name="solver_rsd" localSheetId="4" hidden="1">0</definedName>
    <definedName name="solver_rsd" localSheetId="6" hidden="1">0</definedName>
    <definedName name="solver_rsd" localSheetId="1" hidden="1">0</definedName>
    <definedName name="solver_rsd" localSheetId="0" hidden="1">0</definedName>
    <definedName name="solver_rsd" localSheetId="2" hidden="1">0</definedName>
    <definedName name="solver_scl" localSheetId="5" hidden="1">2</definedName>
    <definedName name="solver_scl" localSheetId="3" hidden="1">2</definedName>
    <definedName name="solver_scl" localSheetId="4" hidden="1">2</definedName>
    <definedName name="solver_scl" localSheetId="6" hidden="1">2</definedName>
    <definedName name="solver_scl" localSheetId="1" hidden="1">2</definedName>
    <definedName name="solver_scl" localSheetId="0" hidden="1">2</definedName>
    <definedName name="solver_scl" localSheetId="2" hidden="1">2</definedName>
    <definedName name="solver_sho" localSheetId="5" hidden="1">2</definedName>
    <definedName name="solver_sho" localSheetId="3" hidden="1">2</definedName>
    <definedName name="solver_sho" localSheetId="4" hidden="1">2</definedName>
    <definedName name="solver_sho" localSheetId="6" hidden="1">2</definedName>
    <definedName name="solver_sho" localSheetId="1" hidden="1">2</definedName>
    <definedName name="solver_sho" localSheetId="0" hidden="1">2</definedName>
    <definedName name="solver_sho" localSheetId="2" hidden="1">2</definedName>
    <definedName name="solver_ssz" localSheetId="5" hidden="1">100</definedName>
    <definedName name="solver_ssz" localSheetId="3" hidden="1">100</definedName>
    <definedName name="solver_ssz" localSheetId="4" hidden="1">100</definedName>
    <definedName name="solver_ssz" localSheetId="6" hidden="1">100</definedName>
    <definedName name="solver_ssz" localSheetId="1" hidden="1">100</definedName>
    <definedName name="solver_ssz" localSheetId="0" hidden="1">100</definedName>
    <definedName name="solver_ssz" localSheetId="2" hidden="1">100</definedName>
    <definedName name="solver_tim" localSheetId="5" hidden="1">2147483647</definedName>
    <definedName name="solver_tim" localSheetId="3" hidden="1">2147483647</definedName>
    <definedName name="solver_tim" localSheetId="4" hidden="1">2147483647</definedName>
    <definedName name="solver_tim" localSheetId="6" hidden="1">2147483647</definedName>
    <definedName name="solver_tim" localSheetId="1" hidden="1">2147483647</definedName>
    <definedName name="solver_tim" localSheetId="0" hidden="1">2147483647</definedName>
    <definedName name="solver_tim" localSheetId="2" hidden="1">2147483647</definedName>
    <definedName name="solver_tol" localSheetId="5" hidden="1">0.01</definedName>
    <definedName name="solver_tol" localSheetId="3" hidden="1">0.01</definedName>
    <definedName name="solver_tol" localSheetId="4" hidden="1">0.01</definedName>
    <definedName name="solver_tol" localSheetId="6" hidden="1">0.01</definedName>
    <definedName name="solver_tol" localSheetId="1" hidden="1">0.01</definedName>
    <definedName name="solver_tol" localSheetId="0" hidden="1">0.01</definedName>
    <definedName name="solver_tol" localSheetId="2" hidden="1">0.01</definedName>
    <definedName name="solver_typ" localSheetId="5" hidden="1">2</definedName>
    <definedName name="solver_typ" localSheetId="3" hidden="1">2</definedName>
    <definedName name="solver_typ" localSheetId="4" hidden="1">1</definedName>
    <definedName name="solver_typ" localSheetId="6" hidden="1">1</definedName>
    <definedName name="solver_typ" localSheetId="1" hidden="1">1</definedName>
    <definedName name="solver_typ" localSheetId="0" hidden="1">1</definedName>
    <definedName name="solver_typ" localSheetId="2" hidden="1">2</definedName>
    <definedName name="solver_val" localSheetId="5" hidden="1">0</definedName>
    <definedName name="solver_val" localSheetId="3" hidden="1">0</definedName>
    <definedName name="solver_val" localSheetId="4" hidden="1">0</definedName>
    <definedName name="solver_val" localSheetId="6" hidden="1">0</definedName>
    <definedName name="solver_val" localSheetId="1" hidden="1">0</definedName>
    <definedName name="solver_val" localSheetId="0" hidden="1">0</definedName>
    <definedName name="solver_val" localSheetId="2" hidden="1">0</definedName>
    <definedName name="solver_ver" localSheetId="5" hidden="1">3</definedName>
    <definedName name="solver_ver" localSheetId="3" hidden="1">3</definedName>
    <definedName name="solver_ver" localSheetId="4" hidden="1">3</definedName>
    <definedName name="solver_ver" localSheetId="6" hidden="1">3</definedName>
    <definedName name="solver_ver" localSheetId="1" hidden="1">3</definedName>
    <definedName name="solver_ver" localSheetId="0" hidden="1">3</definedName>
    <definedName name="solver_ver" localSheetId="2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9" i="8" l="1" a="1"/>
  <c r="B39" i="8" s="1"/>
  <c r="D38" i="8" a="1"/>
  <c r="D38" i="8" s="1"/>
  <c r="B38" i="8"/>
  <c r="D37" i="8" a="1"/>
  <c r="D37" i="8" s="1"/>
  <c r="B37" i="8"/>
  <c r="D36" i="8" a="1"/>
  <c r="D36" i="8" s="1"/>
  <c r="B36" i="8"/>
  <c r="D35" i="8" a="1"/>
  <c r="D35" i="8" s="1"/>
  <c r="B35" i="8"/>
  <c r="D34" i="8" a="1"/>
  <c r="D34" i="8" s="1"/>
  <c r="B34" i="8"/>
  <c r="D33" i="8" a="1"/>
  <c r="D33" i="8" s="1"/>
  <c r="B33" i="8"/>
  <c r="D32" i="8" a="1"/>
  <c r="D32" i="8" s="1"/>
  <c r="B32" i="8"/>
  <c r="D31" i="8" a="1"/>
  <c r="D31" i="8" s="1"/>
  <c r="B31" i="8"/>
  <c r="D30" i="8" a="1"/>
  <c r="D30" i="8" s="1"/>
  <c r="B30" i="8"/>
  <c r="D29" i="8" a="1"/>
  <c r="D29" i="8" s="1"/>
  <c r="B29" i="8"/>
  <c r="N26" i="8"/>
  <c r="B39" i="7" a="1"/>
  <c r="B39" i="7" s="1"/>
  <c r="D38" i="7" a="1"/>
  <c r="D38" i="7" s="1"/>
  <c r="B38" i="7"/>
  <c r="D37" i="7" a="1"/>
  <c r="D37" i="7" s="1"/>
  <c r="B37" i="7"/>
  <c r="D36" i="7" a="1"/>
  <c r="D36" i="7" s="1"/>
  <c r="B36" i="7"/>
  <c r="D35" i="7" a="1"/>
  <c r="D35" i="7" s="1"/>
  <c r="B35" i="7"/>
  <c r="D34" i="7" a="1"/>
  <c r="D34" i="7" s="1"/>
  <c r="B34" i="7"/>
  <c r="D33" i="7" a="1"/>
  <c r="D33" i="7" s="1"/>
  <c r="B33" i="7"/>
  <c r="D32" i="7" a="1"/>
  <c r="D32" i="7" s="1"/>
  <c r="B32" i="7"/>
  <c r="D31" i="7" a="1"/>
  <c r="D31" i="7" s="1"/>
  <c r="B31" i="7"/>
  <c r="D30" i="7" a="1"/>
  <c r="D30" i="7" s="1"/>
  <c r="B30" i="7"/>
  <c r="D29" i="7" a="1"/>
  <c r="D29" i="7" s="1"/>
  <c r="B29" i="7"/>
  <c r="N26" i="7"/>
  <c r="D34" i="6" l="1" a="1"/>
  <c r="D34" i="6" s="1"/>
  <c r="D38" i="6" a="1"/>
  <c r="D38" i="6" s="1"/>
  <c r="D37" i="6" a="1"/>
  <c r="D37" i="6" s="1"/>
  <c r="D36" i="6" a="1"/>
  <c r="D36" i="6" s="1"/>
  <c r="D35" i="6" a="1"/>
  <c r="D35" i="6" s="1"/>
  <c r="D33" i="6" a="1"/>
  <c r="D33" i="6" s="1"/>
  <c r="D32" i="6" a="1"/>
  <c r="D32" i="6" s="1"/>
  <c r="D31" i="6" a="1"/>
  <c r="D31" i="6" s="1"/>
  <c r="D30" i="6" a="1"/>
  <c r="D30" i="6" s="1"/>
  <c r="D29" i="6" a="1"/>
  <c r="D29" i="6" s="1"/>
  <c r="B38" i="6"/>
  <c r="B37" i="6"/>
  <c r="B36" i="6"/>
  <c r="B35" i="6"/>
  <c r="B34" i="6"/>
  <c r="B33" i="6"/>
  <c r="B32" i="6"/>
  <c r="B31" i="6"/>
  <c r="B30" i="6"/>
  <c r="B29" i="6"/>
  <c r="N26" i="6"/>
  <c r="D30" i="4" l="1" a="1"/>
  <c r="D30" i="4" s="1"/>
  <c r="D38" i="4" l="1" a="1"/>
  <c r="D38" i="4" s="1"/>
  <c r="D37" i="4" a="1"/>
  <c r="D37" i="4" s="1"/>
  <c r="D36" i="4" a="1"/>
  <c r="D36" i="4" s="1"/>
  <c r="D35" i="4" a="1"/>
  <c r="D35" i="4" s="1"/>
  <c r="D34" i="4" a="1"/>
  <c r="D34" i="4" s="1"/>
  <c r="D33" i="4" a="1"/>
  <c r="D33" i="4" s="1"/>
  <c r="D32" i="4" a="1"/>
  <c r="D32" i="4" s="1"/>
  <c r="D31" i="4" a="1"/>
  <c r="D31" i="4" s="1"/>
  <c r="D29" i="4" a="1"/>
  <c r="D29" i="4" s="1"/>
  <c r="B38" i="4"/>
  <c r="B37" i="4"/>
  <c r="B36" i="4"/>
  <c r="B35" i="4"/>
  <c r="B34" i="4"/>
  <c r="B33" i="4"/>
  <c r="B32" i="4"/>
  <c r="B31" i="4"/>
  <c r="B30" i="4"/>
  <c r="B29" i="4"/>
  <c r="N26" i="4"/>
  <c r="O24" i="3" l="1"/>
  <c r="N24" i="3"/>
  <c r="O23" i="3"/>
  <c r="N23" i="3"/>
  <c r="O22" i="3"/>
  <c r="N22" i="3"/>
  <c r="O21" i="3"/>
  <c r="N21" i="3"/>
  <c r="O20" i="3"/>
  <c r="N20" i="3"/>
  <c r="O19" i="3"/>
  <c r="N19" i="3"/>
  <c r="O18" i="3"/>
  <c r="N18" i="3"/>
  <c r="O17" i="3"/>
  <c r="N17" i="3"/>
  <c r="O16" i="3"/>
  <c r="N16" i="3"/>
  <c r="O15" i="3"/>
  <c r="N15" i="3"/>
  <c r="O14" i="3"/>
  <c r="N14" i="3"/>
  <c r="O13" i="3"/>
  <c r="N13" i="3"/>
  <c r="O12" i="3"/>
  <c r="N12" i="3"/>
  <c r="O11" i="3"/>
  <c r="N11" i="3"/>
  <c r="O10" i="3"/>
  <c r="N10" i="3"/>
  <c r="O9" i="3"/>
  <c r="N9" i="3"/>
  <c r="O8" i="3"/>
  <c r="N8" i="3"/>
  <c r="O7" i="3"/>
  <c r="N7" i="3"/>
  <c r="O6" i="3"/>
  <c r="N6" i="3"/>
  <c r="O5" i="3"/>
  <c r="N5" i="3"/>
  <c r="O4" i="3"/>
  <c r="N4" i="3"/>
  <c r="O3" i="3"/>
  <c r="N3" i="3"/>
  <c r="O2" i="3"/>
  <c r="N2" i="3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" i="2"/>
  <c r="W24" i="2"/>
  <c r="W23" i="2"/>
  <c r="W22" i="2"/>
  <c r="W21" i="2"/>
  <c r="W20" i="2"/>
  <c r="W19" i="2"/>
  <c r="W18" i="2"/>
  <c r="W17" i="2"/>
  <c r="W16" i="2"/>
  <c r="W15" i="2"/>
  <c r="W14" i="2"/>
  <c r="W13" i="2"/>
  <c r="W12" i="2"/>
  <c r="W11" i="2"/>
  <c r="W10" i="2"/>
  <c r="W9" i="2"/>
  <c r="W8" i="2"/>
  <c r="W7" i="2"/>
  <c r="W6" i="2"/>
  <c r="W5" i="2"/>
  <c r="W4" i="2"/>
  <c r="W3" i="2"/>
  <c r="W2" i="2"/>
  <c r="B29" i="3" l="1" a="1"/>
  <c r="B29" i="3" s="1"/>
  <c r="B30" i="3" a="1"/>
  <c r="B30" i="3" s="1"/>
  <c r="B30" i="2" a="1"/>
  <c r="B30" i="2" s="1"/>
  <c r="B29" i="2" a="1"/>
  <c r="B29" i="2" s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" i="1"/>
  <c r="B30" i="1" l="1" a="1"/>
  <c r="B30" i="1" s="1"/>
  <c r="B29" i="1" a="1"/>
  <c r="B2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<sst xmlns="http://schemas.openxmlformats.org/spreadsheetml/2006/main" count="395" uniqueCount="60">
  <si>
    <t>Matches</t>
  </si>
  <si>
    <t>Overs</t>
  </si>
  <si>
    <t>Maidens</t>
  </si>
  <si>
    <t>Runs</t>
  </si>
  <si>
    <t>4(fers)</t>
  </si>
  <si>
    <t>5(fers)</t>
  </si>
  <si>
    <t>Wickets</t>
  </si>
  <si>
    <t>Average</t>
  </si>
  <si>
    <t xml:space="preserve">Economy </t>
  </si>
  <si>
    <t>Strike Rate</t>
  </si>
  <si>
    <t>Player Name</t>
  </si>
  <si>
    <t>Weighted Category I</t>
  </si>
  <si>
    <t>Weighted Category II</t>
  </si>
  <si>
    <t>Jasprit Bumrah</t>
  </si>
  <si>
    <t>Arshdeep Singh</t>
  </si>
  <si>
    <t>Kuldeep Yadav</t>
  </si>
  <si>
    <t>Bhuvneshwar Kumar</t>
  </si>
  <si>
    <t>Ravi Bishnoi</t>
  </si>
  <si>
    <t>Ravindra Jadeja</t>
  </si>
  <si>
    <t>Ravichandran Ashwin</t>
  </si>
  <si>
    <t>Axar Patel</t>
  </si>
  <si>
    <t>Mohammad Shami</t>
  </si>
  <si>
    <t>Mohammad Siraj</t>
  </si>
  <si>
    <t>Umran Malik</t>
  </si>
  <si>
    <t>Avesh Khan</t>
  </si>
  <si>
    <t>Deepak Chahar</t>
  </si>
  <si>
    <t>Yuzvendra Chahal</t>
  </si>
  <si>
    <t>Hardik Pandya</t>
  </si>
  <si>
    <t>Shardul Thakur</t>
  </si>
  <si>
    <t>Shivam Dube</t>
  </si>
  <si>
    <t>Washington Sundar</t>
  </si>
  <si>
    <t>Prasidh Krishna</t>
  </si>
  <si>
    <t>Mukesh Kumar</t>
  </si>
  <si>
    <t>Krunal Pandya</t>
  </si>
  <si>
    <t>Venkatesh Iyer</t>
  </si>
  <si>
    <t>Rahul Chahar</t>
  </si>
  <si>
    <t>Weights/Multipliers</t>
  </si>
  <si>
    <t>Player Under Consideration</t>
  </si>
  <si>
    <t>DEA Score</t>
  </si>
  <si>
    <t>Matches(New)</t>
  </si>
  <si>
    <t>Overs(New)</t>
  </si>
  <si>
    <t>Maidens(New)</t>
  </si>
  <si>
    <t>Runs(New)</t>
  </si>
  <si>
    <t>4-fers(New)</t>
  </si>
  <si>
    <t>5-fers(New)</t>
  </si>
  <si>
    <t>DEA Score (Improved)</t>
  </si>
  <si>
    <t>Weight Share</t>
  </si>
  <si>
    <t>DEA Efficiency</t>
  </si>
  <si>
    <t>Sum of Weight Shares</t>
  </si>
  <si>
    <t>DMU Under Evaluation</t>
  </si>
  <si>
    <t>Virtual DMU</t>
  </si>
  <si>
    <t>Economy</t>
  </si>
  <si>
    <t>&lt;=</t>
  </si>
  <si>
    <t>&gt;=</t>
  </si>
  <si>
    <t>Performance</t>
  </si>
  <si>
    <t>Score</t>
  </si>
  <si>
    <t>Weight Share for DMU under evaluation</t>
  </si>
  <si>
    <t>=</t>
  </si>
  <si>
    <t>Super Efficiency</t>
  </si>
  <si>
    <t>Infeasible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</si>
</sst>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1" fontId="0" fillId="3" borderId="1" xfId="0" applyNumberFormat="1" applyFill="1" applyBorder="1"/>
    <xf numFmtId="0" fontId="0" fillId="4" borderId="1" xfId="0" applyFill="1" applyBorder="1"/>
    <xf numFmtId="9" fontId="0" fillId="0" borderId="0" xfId="0" applyNumberFormat="1"/>
    <xf numFmtId="0" fontId="2" fillId="5" borderId="0" xfId="0" applyFont="1" applyFill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9" fontId="0" fillId="4" borderId="1" xfId="0" applyNumberFormat="1" applyFill="1" applyBorder="1"/>
    <xf numFmtId="0" fontId="0" fillId="9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DAE6A-114B-46D8-BEC8-2EB8E9F97435}">
  <sheetPr codeName="Sheet1"/>
  <dimension ref="A1:Q30"/>
  <sheetViews>
    <sheetView zoomScale="66" workbookViewId="0">
      <selection activeCell="L29" sqref="L29"/>
    </sheetView>
  </sheetViews>
  <sheetFormatPr defaultRowHeight="14.4" x14ac:dyDescent="0.3"/>
  <cols>
    <col min="1" max="1" width="27" customWidth="1"/>
    <col min="12" max="12" width="13.5546875" customWidth="1"/>
    <col min="14" max="14" width="22.109375" customWidth="1"/>
    <col min="15" max="15" width="21" customWidth="1"/>
    <col min="17" max="17" width="9.77734375" customWidth="1"/>
  </cols>
  <sheetData>
    <row r="1" spans="1:17" x14ac:dyDescent="0.3">
      <c r="A1" s="1" t="s">
        <v>10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N1" s="1" t="s">
        <v>11</v>
      </c>
      <c r="O1" s="1" t="s">
        <v>12</v>
      </c>
      <c r="Q1" s="1" t="s">
        <v>38</v>
      </c>
    </row>
    <row r="2" spans="1:17" x14ac:dyDescent="0.3">
      <c r="A2" t="s">
        <v>13</v>
      </c>
      <c r="B2">
        <v>62</v>
      </c>
      <c r="C2">
        <v>221.5</v>
      </c>
      <c r="D2">
        <v>10</v>
      </c>
      <c r="E2">
        <v>1455</v>
      </c>
      <c r="F2">
        <v>0</v>
      </c>
      <c r="G2">
        <v>0</v>
      </c>
      <c r="I2">
        <v>74</v>
      </c>
      <c r="J2">
        <v>19.66</v>
      </c>
      <c r="K2" s="2">
        <v>19.66</v>
      </c>
      <c r="L2">
        <v>17.899999999999999</v>
      </c>
      <c r="N2">
        <f>SUMPRODUCT($B$26:$G$26,B2:G2)</f>
        <v>8.9899179941108667</v>
      </c>
      <c r="O2">
        <f>SUMPRODUCT($I$26:$L$26,I2:L2)</f>
        <v>0.82431865828092266</v>
      </c>
      <c r="Q2">
        <v>1</v>
      </c>
    </row>
    <row r="3" spans="1:17" x14ac:dyDescent="0.3">
      <c r="A3" t="s">
        <v>14</v>
      </c>
      <c r="B3">
        <v>44</v>
      </c>
      <c r="C3">
        <v>149.5</v>
      </c>
      <c r="D3">
        <v>2</v>
      </c>
      <c r="E3">
        <v>1294</v>
      </c>
      <c r="F3">
        <v>1</v>
      </c>
      <c r="G3">
        <v>0</v>
      </c>
      <c r="I3">
        <v>62</v>
      </c>
      <c r="J3">
        <v>20.87</v>
      </c>
      <c r="K3" s="2">
        <v>8.6300000000000008</v>
      </c>
      <c r="L3">
        <v>14.5</v>
      </c>
      <c r="N3">
        <f t="shared" ref="N3:N24" si="0">SUMPRODUCT($B$26:$G$26,B3:G3)</f>
        <v>7.6774594300799759</v>
      </c>
      <c r="O3">
        <f t="shared" ref="O3:O24" si="1">SUMPRODUCT($I$26:$L$26,I3:L3)</f>
        <v>0.87505241090146779</v>
      </c>
      <c r="Q3">
        <v>0.98648216503301178</v>
      </c>
    </row>
    <row r="4" spans="1:17" x14ac:dyDescent="0.3">
      <c r="A4" t="s">
        <v>15</v>
      </c>
      <c r="B4">
        <v>35</v>
      </c>
      <c r="C4">
        <v>123.2</v>
      </c>
      <c r="D4">
        <v>2</v>
      </c>
      <c r="E4">
        <v>832</v>
      </c>
      <c r="F4">
        <v>1</v>
      </c>
      <c r="G4">
        <v>2</v>
      </c>
      <c r="I4">
        <v>59</v>
      </c>
      <c r="J4">
        <v>14.1</v>
      </c>
      <c r="K4" s="2">
        <v>6.74</v>
      </c>
      <c r="L4">
        <v>12.5</v>
      </c>
      <c r="N4">
        <f t="shared" si="0"/>
        <v>5.1277093897638979</v>
      </c>
      <c r="O4">
        <f t="shared" si="1"/>
        <v>0.59119496855345921</v>
      </c>
      <c r="Q4">
        <v>1</v>
      </c>
    </row>
    <row r="5" spans="1:17" x14ac:dyDescent="0.3">
      <c r="A5" t="s">
        <v>16</v>
      </c>
      <c r="B5">
        <v>87</v>
      </c>
      <c r="C5">
        <v>298.3</v>
      </c>
      <c r="D5">
        <v>10</v>
      </c>
      <c r="E5">
        <v>2079</v>
      </c>
      <c r="F5">
        <v>3</v>
      </c>
      <c r="G5">
        <v>2</v>
      </c>
      <c r="I5">
        <v>90</v>
      </c>
      <c r="J5">
        <v>23.1</v>
      </c>
      <c r="K5">
        <v>6.96</v>
      </c>
      <c r="L5">
        <v>19.899999999999999</v>
      </c>
      <c r="N5">
        <f t="shared" si="0"/>
        <v>12.800050171119354</v>
      </c>
      <c r="O5">
        <f t="shared" si="1"/>
        <v>0.96855345911949708</v>
      </c>
      <c r="Q5">
        <v>0.72257169763470064</v>
      </c>
    </row>
    <row r="6" spans="1:17" x14ac:dyDescent="0.3">
      <c r="A6" t="s">
        <v>17</v>
      </c>
      <c r="B6">
        <v>24</v>
      </c>
      <c r="C6">
        <v>93.4</v>
      </c>
      <c r="D6">
        <v>0</v>
      </c>
      <c r="E6">
        <v>703</v>
      </c>
      <c r="F6">
        <v>1</v>
      </c>
      <c r="G6">
        <v>0</v>
      </c>
      <c r="I6">
        <v>36</v>
      </c>
      <c r="J6">
        <v>19.52</v>
      </c>
      <c r="K6" s="2">
        <v>7.5</v>
      </c>
      <c r="L6">
        <v>15.6</v>
      </c>
      <c r="N6">
        <f t="shared" si="0"/>
        <v>4.1737175007615264</v>
      </c>
      <c r="O6">
        <f t="shared" si="1"/>
        <v>0.81844863731656203</v>
      </c>
      <c r="Q6">
        <v>1</v>
      </c>
    </row>
    <row r="7" spans="1:17" x14ac:dyDescent="0.3">
      <c r="A7" t="s">
        <v>18</v>
      </c>
      <c r="B7">
        <v>66</v>
      </c>
      <c r="C7">
        <v>212</v>
      </c>
      <c r="D7">
        <v>4</v>
      </c>
      <c r="E7">
        <v>1506</v>
      </c>
      <c r="F7">
        <v>0</v>
      </c>
      <c r="G7">
        <v>0</v>
      </c>
      <c r="I7">
        <v>53</v>
      </c>
      <c r="J7">
        <v>28.41</v>
      </c>
      <c r="K7" s="2">
        <v>7.1</v>
      </c>
      <c r="L7">
        <v>24</v>
      </c>
      <c r="N7">
        <f t="shared" si="0"/>
        <v>9.3571287785124273</v>
      </c>
      <c r="O7">
        <f t="shared" si="1"/>
        <v>1.1911949685534593</v>
      </c>
      <c r="Q7">
        <v>0.71547781883510586</v>
      </c>
    </row>
    <row r="8" spans="1:17" x14ac:dyDescent="0.3">
      <c r="A8" t="s">
        <v>19</v>
      </c>
      <c r="B8">
        <v>65</v>
      </c>
      <c r="C8">
        <v>242</v>
      </c>
      <c r="D8">
        <v>3</v>
      </c>
      <c r="E8">
        <v>1672</v>
      </c>
      <c r="F8">
        <v>2</v>
      </c>
      <c r="G8">
        <v>0</v>
      </c>
      <c r="I8">
        <v>72</v>
      </c>
      <c r="J8">
        <v>23.22</v>
      </c>
      <c r="K8" s="2">
        <v>6.9</v>
      </c>
      <c r="L8">
        <v>20.100000000000001</v>
      </c>
      <c r="N8">
        <f t="shared" si="0"/>
        <v>10.152526175586972</v>
      </c>
      <c r="O8">
        <f t="shared" si="1"/>
        <v>0.97358490566037748</v>
      </c>
      <c r="Q8">
        <v>0.83058652216140461</v>
      </c>
    </row>
    <row r="9" spans="1:17" x14ac:dyDescent="0.3">
      <c r="A9" t="s">
        <v>20</v>
      </c>
      <c r="B9">
        <v>52</v>
      </c>
      <c r="C9">
        <v>163.1</v>
      </c>
      <c r="D9">
        <v>1</v>
      </c>
      <c r="E9">
        <v>1186</v>
      </c>
      <c r="F9">
        <v>0</v>
      </c>
      <c r="G9">
        <v>0</v>
      </c>
      <c r="I9">
        <v>49</v>
      </c>
      <c r="J9">
        <v>24.2</v>
      </c>
      <c r="K9" s="2">
        <v>7.26</v>
      </c>
      <c r="L9">
        <v>19.899999999999999</v>
      </c>
      <c r="N9">
        <f t="shared" si="0"/>
        <v>7.3695759943139407</v>
      </c>
      <c r="O9">
        <f t="shared" si="1"/>
        <v>1.0146750524109016</v>
      </c>
      <c r="Q9">
        <v>0.85458259932106384</v>
      </c>
    </row>
    <row r="10" spans="1:17" x14ac:dyDescent="0.3">
      <c r="A10" t="s">
        <v>21</v>
      </c>
      <c r="B10">
        <v>23</v>
      </c>
      <c r="C10">
        <v>79.3</v>
      </c>
      <c r="D10">
        <v>1</v>
      </c>
      <c r="E10">
        <v>711</v>
      </c>
      <c r="F10">
        <v>0</v>
      </c>
      <c r="G10">
        <v>0</v>
      </c>
      <c r="I10">
        <v>24</v>
      </c>
      <c r="J10">
        <v>29.62</v>
      </c>
      <c r="K10" s="2">
        <v>8.94</v>
      </c>
      <c r="L10">
        <v>19.8</v>
      </c>
      <c r="N10">
        <f t="shared" si="0"/>
        <v>4.1849044658268983</v>
      </c>
      <c r="O10">
        <f t="shared" si="1"/>
        <v>1.2419287211740044</v>
      </c>
      <c r="Q10">
        <v>0.75402086816164182</v>
      </c>
    </row>
    <row r="11" spans="1:17" x14ac:dyDescent="0.3">
      <c r="A11" t="s">
        <v>22</v>
      </c>
      <c r="B11">
        <v>10</v>
      </c>
      <c r="C11">
        <v>38</v>
      </c>
      <c r="D11">
        <v>2</v>
      </c>
      <c r="E11">
        <v>334</v>
      </c>
      <c r="F11">
        <v>1</v>
      </c>
      <c r="G11">
        <v>0</v>
      </c>
      <c r="I11">
        <v>12</v>
      </c>
      <c r="J11">
        <v>27.83</v>
      </c>
      <c r="K11" s="2">
        <v>8.7799999999999994</v>
      </c>
      <c r="L11">
        <v>19</v>
      </c>
      <c r="N11">
        <f t="shared" si="0"/>
        <v>1.9429602154969032</v>
      </c>
      <c r="O11">
        <f t="shared" si="1"/>
        <v>1.1668763102725368</v>
      </c>
      <c r="Q11">
        <v>0.84828212010644577</v>
      </c>
    </row>
    <row r="12" spans="1:17" x14ac:dyDescent="0.3">
      <c r="A12" t="s">
        <v>23</v>
      </c>
      <c r="B12">
        <v>8</v>
      </c>
      <c r="C12">
        <v>23.1</v>
      </c>
      <c r="D12">
        <v>0</v>
      </c>
      <c r="E12">
        <v>243</v>
      </c>
      <c r="F12">
        <v>0</v>
      </c>
      <c r="G12">
        <v>0</v>
      </c>
      <c r="I12">
        <v>11</v>
      </c>
      <c r="J12">
        <v>22.09</v>
      </c>
      <c r="K12" s="2">
        <v>10.48</v>
      </c>
      <c r="L12">
        <v>12.6</v>
      </c>
      <c r="N12">
        <f t="shared" si="0"/>
        <v>1.4342549290138389</v>
      </c>
      <c r="O12">
        <f t="shared" si="1"/>
        <v>0.92620545073375282</v>
      </c>
      <c r="Q12">
        <v>1.0000000000000002</v>
      </c>
    </row>
    <row r="13" spans="1:17" x14ac:dyDescent="0.3">
      <c r="A13" t="s">
        <v>24</v>
      </c>
      <c r="B13">
        <v>20</v>
      </c>
      <c r="C13">
        <v>66.2</v>
      </c>
      <c r="D13">
        <v>1</v>
      </c>
      <c r="E13">
        <v>618</v>
      </c>
      <c r="F13">
        <v>1</v>
      </c>
      <c r="G13">
        <v>0</v>
      </c>
      <c r="I13">
        <v>19</v>
      </c>
      <c r="J13">
        <v>32.520000000000003</v>
      </c>
      <c r="K13" s="2">
        <v>9.31</v>
      </c>
      <c r="L13">
        <v>20.9</v>
      </c>
      <c r="N13">
        <f t="shared" si="0"/>
        <v>3.6377525727630551</v>
      </c>
      <c r="O13">
        <f t="shared" si="1"/>
        <v>1.3635220125786167</v>
      </c>
      <c r="Q13">
        <v>0.67382103549935501</v>
      </c>
    </row>
    <row r="14" spans="1:17" x14ac:dyDescent="0.3">
      <c r="A14" t="s">
        <v>25</v>
      </c>
      <c r="B14">
        <v>25</v>
      </c>
      <c r="C14">
        <v>90</v>
      </c>
      <c r="D14">
        <v>2</v>
      </c>
      <c r="E14">
        <v>747</v>
      </c>
      <c r="F14">
        <v>0</v>
      </c>
      <c r="G14">
        <v>1</v>
      </c>
      <c r="I14">
        <v>31</v>
      </c>
      <c r="J14">
        <v>24.09</v>
      </c>
      <c r="K14" s="2">
        <v>8.3000000000000007</v>
      </c>
      <c r="L14">
        <v>17.399999999999999</v>
      </c>
      <c r="N14">
        <f t="shared" si="0"/>
        <v>4.4206251082561359</v>
      </c>
      <c r="O14">
        <f t="shared" si="1"/>
        <v>1.0100628930817612</v>
      </c>
      <c r="Q14">
        <v>0.91042818567571049</v>
      </c>
    </row>
    <row r="15" spans="1:17" x14ac:dyDescent="0.3">
      <c r="A15" t="s">
        <v>26</v>
      </c>
      <c r="B15">
        <v>80</v>
      </c>
      <c r="C15">
        <v>294</v>
      </c>
      <c r="D15">
        <v>2</v>
      </c>
      <c r="E15">
        <v>2409</v>
      </c>
      <c r="F15">
        <v>2</v>
      </c>
      <c r="G15">
        <v>1</v>
      </c>
      <c r="I15">
        <v>96</v>
      </c>
      <c r="J15">
        <v>25.09</v>
      </c>
      <c r="K15" s="2">
        <v>8.19</v>
      </c>
      <c r="L15">
        <v>18.3</v>
      </c>
      <c r="N15">
        <f t="shared" si="0"/>
        <v>14.238318789681474</v>
      </c>
      <c r="O15">
        <f t="shared" si="1"/>
        <v>1.0519916142557655</v>
      </c>
      <c r="Q15">
        <v>0.7859632255738489</v>
      </c>
    </row>
    <row r="16" spans="1:17" x14ac:dyDescent="0.3">
      <c r="A16" t="s">
        <v>27</v>
      </c>
      <c r="B16">
        <v>92</v>
      </c>
      <c r="C16">
        <v>238.5</v>
      </c>
      <c r="D16">
        <v>1</v>
      </c>
      <c r="E16">
        <v>1950</v>
      </c>
      <c r="F16">
        <v>3</v>
      </c>
      <c r="G16">
        <v>0</v>
      </c>
      <c r="I16">
        <v>73</v>
      </c>
      <c r="J16">
        <v>26.71</v>
      </c>
      <c r="K16" s="2">
        <v>8.16</v>
      </c>
      <c r="L16">
        <v>19.600000000000001</v>
      </c>
      <c r="N16">
        <f t="shared" si="0"/>
        <v>12.302376558141759</v>
      </c>
      <c r="O16">
        <f t="shared" si="1"/>
        <v>1.1199161425576523</v>
      </c>
      <c r="Q16">
        <v>0.71675061869235634</v>
      </c>
    </row>
    <row r="17" spans="1:17" x14ac:dyDescent="0.3">
      <c r="A17" t="s">
        <v>28</v>
      </c>
      <c r="B17">
        <v>25</v>
      </c>
      <c r="C17">
        <v>84.2</v>
      </c>
      <c r="D17">
        <v>0</v>
      </c>
      <c r="E17">
        <v>772</v>
      </c>
      <c r="F17">
        <v>1</v>
      </c>
      <c r="G17">
        <v>0</v>
      </c>
      <c r="I17">
        <v>33</v>
      </c>
      <c r="J17">
        <v>23.29</v>
      </c>
      <c r="K17" s="2">
        <v>9.15</v>
      </c>
      <c r="L17">
        <v>15.3</v>
      </c>
      <c r="N17">
        <f t="shared" si="0"/>
        <v>4.5447090373715113</v>
      </c>
      <c r="O17">
        <f t="shared" si="1"/>
        <v>0.97651991614255784</v>
      </c>
      <c r="Q17">
        <v>0.91616699813860258</v>
      </c>
    </row>
    <row r="18" spans="1:17" x14ac:dyDescent="0.3">
      <c r="A18" t="s">
        <v>29</v>
      </c>
      <c r="B18">
        <v>21</v>
      </c>
      <c r="C18">
        <v>36.299999999999997</v>
      </c>
      <c r="D18">
        <v>0</v>
      </c>
      <c r="E18">
        <v>360</v>
      </c>
      <c r="F18">
        <v>0</v>
      </c>
      <c r="G18">
        <v>0</v>
      </c>
      <c r="I18">
        <v>8</v>
      </c>
      <c r="J18">
        <v>45</v>
      </c>
      <c r="K18" s="2">
        <v>9.86</v>
      </c>
      <c r="L18">
        <v>27.3</v>
      </c>
      <c r="N18">
        <f t="shared" si="0"/>
        <v>2.3857263165439271</v>
      </c>
      <c r="O18">
        <f t="shared" si="1"/>
        <v>1.8867924528301891</v>
      </c>
      <c r="Q18">
        <v>0.82837199753644009</v>
      </c>
    </row>
    <row r="19" spans="1:17" x14ac:dyDescent="0.3">
      <c r="A19" t="s">
        <v>30</v>
      </c>
      <c r="B19">
        <v>43</v>
      </c>
      <c r="C19">
        <v>134.30000000000001</v>
      </c>
      <c r="D19">
        <v>1</v>
      </c>
      <c r="E19">
        <v>968</v>
      </c>
      <c r="F19">
        <v>0</v>
      </c>
      <c r="G19">
        <v>0</v>
      </c>
      <c r="I19">
        <v>34</v>
      </c>
      <c r="J19">
        <v>28.47</v>
      </c>
      <c r="K19" s="2">
        <v>7.19</v>
      </c>
      <c r="L19">
        <v>23.7</v>
      </c>
      <c r="N19">
        <f t="shared" si="0"/>
        <v>6.0308851021639285</v>
      </c>
      <c r="O19">
        <f t="shared" si="1"/>
        <v>1.1937106918238996</v>
      </c>
      <c r="Q19">
        <v>0.72307174836813715</v>
      </c>
    </row>
    <row r="20" spans="1:17" x14ac:dyDescent="0.3">
      <c r="A20" t="s">
        <v>31</v>
      </c>
      <c r="B20">
        <v>5</v>
      </c>
      <c r="C20">
        <v>20</v>
      </c>
      <c r="D20">
        <v>0</v>
      </c>
      <c r="E20">
        <v>220</v>
      </c>
      <c r="F20">
        <v>0</v>
      </c>
      <c r="G20">
        <v>0</v>
      </c>
      <c r="I20">
        <v>8</v>
      </c>
      <c r="J20">
        <v>27.5</v>
      </c>
      <c r="K20" s="2">
        <v>11</v>
      </c>
      <c r="L20">
        <v>15</v>
      </c>
      <c r="N20">
        <f t="shared" si="0"/>
        <v>1.2345380374730479</v>
      </c>
      <c r="O20">
        <f t="shared" si="1"/>
        <v>1.1530398322851156</v>
      </c>
      <c r="Q20">
        <v>1.0000000000000002</v>
      </c>
    </row>
    <row r="21" spans="1:17" x14ac:dyDescent="0.3">
      <c r="A21" t="s">
        <v>32</v>
      </c>
      <c r="B21">
        <v>14</v>
      </c>
      <c r="C21">
        <v>43.5</v>
      </c>
      <c r="D21">
        <v>0</v>
      </c>
      <c r="E21">
        <v>412</v>
      </c>
      <c r="F21">
        <v>0</v>
      </c>
      <c r="G21">
        <v>0</v>
      </c>
      <c r="I21">
        <v>12</v>
      </c>
      <c r="J21">
        <v>34.33</v>
      </c>
      <c r="K21" s="2">
        <v>9.39</v>
      </c>
      <c r="L21">
        <v>21.9</v>
      </c>
      <c r="N21">
        <f t="shared" si="0"/>
        <v>2.444181643343069</v>
      </c>
      <c r="O21">
        <f t="shared" si="1"/>
        <v>1.4394129979035641</v>
      </c>
      <c r="Q21">
        <v>0.68821557830480096</v>
      </c>
    </row>
    <row r="22" spans="1:17" x14ac:dyDescent="0.3">
      <c r="A22" t="s">
        <v>33</v>
      </c>
      <c r="B22">
        <v>19</v>
      </c>
      <c r="C22">
        <v>68.2</v>
      </c>
      <c r="D22">
        <v>1</v>
      </c>
      <c r="E22">
        <v>554</v>
      </c>
      <c r="F22">
        <v>1</v>
      </c>
      <c r="G22">
        <v>0</v>
      </c>
      <c r="I22">
        <v>15</v>
      </c>
      <c r="J22">
        <v>36.93</v>
      </c>
      <c r="K22" s="2">
        <v>8.1</v>
      </c>
      <c r="L22">
        <v>27.3</v>
      </c>
      <c r="N22">
        <f t="shared" si="0"/>
        <v>3.2915778219761451</v>
      </c>
      <c r="O22">
        <f t="shared" si="1"/>
        <v>1.5484276729559752</v>
      </c>
      <c r="Q22">
        <v>0.61335259880460558</v>
      </c>
    </row>
    <row r="23" spans="1:17" x14ac:dyDescent="0.3">
      <c r="A23" t="s">
        <v>34</v>
      </c>
      <c r="B23">
        <v>9</v>
      </c>
      <c r="C23">
        <v>9.1</v>
      </c>
      <c r="D23">
        <v>0</v>
      </c>
      <c r="E23">
        <v>75</v>
      </c>
      <c r="F23">
        <v>0</v>
      </c>
      <c r="G23">
        <v>0</v>
      </c>
      <c r="I23">
        <v>5</v>
      </c>
      <c r="J23">
        <v>15</v>
      </c>
      <c r="K23" s="2">
        <v>8.18</v>
      </c>
      <c r="L23">
        <v>11</v>
      </c>
      <c r="N23">
        <f t="shared" si="0"/>
        <v>0.62893081761006298</v>
      </c>
      <c r="O23">
        <f t="shared" si="1"/>
        <v>0.62893081761006298</v>
      </c>
      <c r="Q23">
        <v>1</v>
      </c>
    </row>
    <row r="24" spans="1:17" x14ac:dyDescent="0.3">
      <c r="A24" t="s">
        <v>35</v>
      </c>
      <c r="B24">
        <v>6</v>
      </c>
      <c r="C24">
        <v>22</v>
      </c>
      <c r="D24">
        <v>0</v>
      </c>
      <c r="E24">
        <v>167</v>
      </c>
      <c r="F24">
        <v>0</v>
      </c>
      <c r="G24">
        <v>0</v>
      </c>
      <c r="I24">
        <v>7</v>
      </c>
      <c r="J24">
        <v>23.85</v>
      </c>
      <c r="K24" s="2">
        <v>7.59</v>
      </c>
      <c r="L24">
        <v>18.8</v>
      </c>
      <c r="N24">
        <f t="shared" si="0"/>
        <v>1</v>
      </c>
      <c r="O24">
        <f t="shared" si="1"/>
        <v>1.0000000000000002</v>
      </c>
      <c r="Q24">
        <v>1.0000000000000002</v>
      </c>
    </row>
    <row r="26" spans="1:17" x14ac:dyDescent="0.3">
      <c r="A26" t="s">
        <v>36</v>
      </c>
      <c r="B26" s="5">
        <v>2.851989225154845E-2</v>
      </c>
      <c r="C26" s="5">
        <v>0</v>
      </c>
      <c r="D26" s="5">
        <v>0</v>
      </c>
      <c r="E26" s="5">
        <v>4.9633571646150263E-3</v>
      </c>
      <c r="F26" s="5">
        <v>0</v>
      </c>
      <c r="G26" s="5">
        <v>0</v>
      </c>
      <c r="I26" s="6">
        <v>0</v>
      </c>
      <c r="J26" s="6">
        <v>4.1928721174004202E-2</v>
      </c>
      <c r="K26" s="7">
        <v>0</v>
      </c>
      <c r="L26" s="6">
        <v>0</v>
      </c>
    </row>
    <row r="28" spans="1:17" x14ac:dyDescent="0.3">
      <c r="A28" t="s">
        <v>37</v>
      </c>
      <c r="B28">
        <v>23</v>
      </c>
    </row>
    <row r="29" spans="1:17" x14ac:dyDescent="0.3">
      <c r="A29" t="s">
        <v>11</v>
      </c>
      <c r="B29" s="8" cm="1">
        <f t="array" ref="B29">INDEX(N2:N24,B28,0)</f>
        <v>1</v>
      </c>
    </row>
    <row r="30" spans="1:17" x14ac:dyDescent="0.3">
      <c r="A30" t="s">
        <v>12</v>
      </c>
      <c r="B30" s="8" cm="1">
        <f t="array" ref="B30">INDEX(O2:O24,B28,0)</f>
        <v>1.0000000000000002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85E02-38AA-4AA2-B43E-77EDCD9E36C6}">
  <sheetPr codeName="Sheet2"/>
  <dimension ref="A1:Z30"/>
  <sheetViews>
    <sheetView zoomScale="55" workbookViewId="0">
      <selection activeCell="D13" sqref="D13"/>
    </sheetView>
  </sheetViews>
  <sheetFormatPr defaultRowHeight="14.4" x14ac:dyDescent="0.3"/>
  <cols>
    <col min="1" max="1" width="27" customWidth="1"/>
    <col min="2" max="2" width="15.5546875" customWidth="1"/>
    <col min="8" max="8" width="9.77734375" customWidth="1"/>
    <col min="10" max="10" width="16" customWidth="1"/>
    <col min="11" max="11" width="18.33203125" customWidth="1"/>
    <col min="12" max="12" width="18" customWidth="1"/>
    <col min="13" max="13" width="13.88671875" customWidth="1"/>
    <col min="14" max="14" width="16" customWidth="1"/>
    <col min="15" max="15" width="12.21875" customWidth="1"/>
    <col min="17" max="17" width="16.21875" customWidth="1"/>
    <col min="18" max="18" width="14.6640625" customWidth="1"/>
    <col min="19" max="19" width="13.44140625" customWidth="1"/>
    <col min="20" max="20" width="13.5546875" customWidth="1"/>
    <col min="22" max="22" width="22.109375" customWidth="1"/>
    <col min="23" max="23" width="21" customWidth="1"/>
    <col min="25" max="25" width="9.77734375" customWidth="1"/>
    <col min="26" max="26" width="21.88671875" customWidth="1"/>
  </cols>
  <sheetData>
    <row r="1" spans="1:26" x14ac:dyDescent="0.3">
      <c r="A1" s="1" t="s">
        <v>10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38</v>
      </c>
      <c r="I1" s="1"/>
      <c r="J1" s="1" t="s">
        <v>39</v>
      </c>
      <c r="K1" s="1" t="s">
        <v>40</v>
      </c>
      <c r="L1" s="1" t="s">
        <v>41</v>
      </c>
      <c r="M1" s="1" t="s">
        <v>42</v>
      </c>
      <c r="N1" s="1" t="s">
        <v>43</v>
      </c>
      <c r="O1" s="1" t="s">
        <v>44</v>
      </c>
      <c r="Q1" s="1" t="s">
        <v>6</v>
      </c>
      <c r="R1" s="1" t="s">
        <v>7</v>
      </c>
      <c r="S1" s="1" t="s">
        <v>8</v>
      </c>
      <c r="T1" s="1" t="s">
        <v>9</v>
      </c>
      <c r="V1" s="1" t="s">
        <v>11</v>
      </c>
      <c r="W1" s="1" t="s">
        <v>12</v>
      </c>
      <c r="Y1" s="1" t="s">
        <v>38</v>
      </c>
      <c r="Z1" s="1" t="s">
        <v>45</v>
      </c>
    </row>
    <row r="2" spans="1:26" x14ac:dyDescent="0.3">
      <c r="A2" t="s">
        <v>13</v>
      </c>
      <c r="B2">
        <v>62</v>
      </c>
      <c r="C2">
        <v>221.5</v>
      </c>
      <c r="D2">
        <v>10</v>
      </c>
      <c r="E2">
        <v>1455</v>
      </c>
      <c r="F2">
        <v>0</v>
      </c>
      <c r="G2">
        <v>0</v>
      </c>
      <c r="H2">
        <v>1</v>
      </c>
      <c r="J2">
        <f>B2*H2</f>
        <v>62</v>
      </c>
      <c r="K2">
        <f>C2*H2</f>
        <v>221.5</v>
      </c>
      <c r="L2" s="4">
        <f>D2*H2</f>
        <v>10</v>
      </c>
      <c r="M2" s="4">
        <f>E2*H2</f>
        <v>1455</v>
      </c>
      <c r="N2" s="4">
        <f>F2*H2</f>
        <v>0</v>
      </c>
      <c r="O2" s="4">
        <f>G2*H2</f>
        <v>0</v>
      </c>
      <c r="Q2">
        <v>74</v>
      </c>
      <c r="R2">
        <v>19.66</v>
      </c>
      <c r="S2" s="2">
        <v>19.66</v>
      </c>
      <c r="T2">
        <v>17.899999999999999</v>
      </c>
      <c r="V2">
        <f>SUMPRODUCT($J$26:$O$26,J2:O2)</f>
        <v>8.9899179941108631</v>
      </c>
      <c r="W2">
        <f>SUMPRODUCT($Q$26:$T$26,Q2:T2)</f>
        <v>0.82431865828092243</v>
      </c>
      <c r="Y2">
        <v>1</v>
      </c>
      <c r="Z2">
        <v>1</v>
      </c>
    </row>
    <row r="3" spans="1:26" x14ac:dyDescent="0.3">
      <c r="A3" t="s">
        <v>14</v>
      </c>
      <c r="B3">
        <v>44</v>
      </c>
      <c r="C3">
        <v>149.5</v>
      </c>
      <c r="D3">
        <v>2</v>
      </c>
      <c r="E3">
        <v>1294</v>
      </c>
      <c r="F3">
        <v>1</v>
      </c>
      <c r="G3">
        <v>0</v>
      </c>
      <c r="H3">
        <v>0.98648216503301178</v>
      </c>
      <c r="J3" s="4">
        <f t="shared" ref="J3:J24" si="0">B3*H3</f>
        <v>43.405215261452518</v>
      </c>
      <c r="K3" s="3">
        <f t="shared" ref="K3:K24" si="1">C3*H3</f>
        <v>147.47908367243525</v>
      </c>
      <c r="L3" s="4">
        <f t="shared" ref="L3:L24" si="2">D3*H3</f>
        <v>1.9729643300660236</v>
      </c>
      <c r="M3" s="4">
        <f t="shared" ref="M3:M24" si="3">E3*H3</f>
        <v>1276.5079215527173</v>
      </c>
      <c r="N3" s="4">
        <f t="shared" ref="N3:N24" si="4">F3*H3</f>
        <v>0.98648216503301178</v>
      </c>
      <c r="O3" s="4">
        <f t="shared" ref="O3:O24" si="5">G3*H3</f>
        <v>0</v>
      </c>
      <c r="Q3">
        <v>62</v>
      </c>
      <c r="R3">
        <v>20.87</v>
      </c>
      <c r="S3" s="2">
        <v>8.6300000000000008</v>
      </c>
      <c r="T3">
        <v>14.5</v>
      </c>
      <c r="V3">
        <f t="shared" ref="V3:V24" si="6">SUMPRODUCT($J$26:$O$26,J3:O3)</f>
        <v>7.5736768005384043</v>
      </c>
      <c r="W3">
        <f t="shared" ref="W3:W24" si="7">SUMPRODUCT($Q$26:$T$26,Q3:T3)</f>
        <v>0.87505241090146757</v>
      </c>
      <c r="Y3">
        <v>0.98648216503301178</v>
      </c>
      <c r="Z3">
        <v>1.0000000000000002</v>
      </c>
    </row>
    <row r="4" spans="1:26" x14ac:dyDescent="0.3">
      <c r="A4" t="s">
        <v>15</v>
      </c>
      <c r="B4">
        <v>35</v>
      </c>
      <c r="C4">
        <v>123.2</v>
      </c>
      <c r="D4">
        <v>2</v>
      </c>
      <c r="E4">
        <v>832</v>
      </c>
      <c r="F4">
        <v>1</v>
      </c>
      <c r="G4">
        <v>2</v>
      </c>
      <c r="H4">
        <v>1</v>
      </c>
      <c r="J4">
        <f t="shared" si="0"/>
        <v>35</v>
      </c>
      <c r="K4">
        <f t="shared" si="1"/>
        <v>123.2</v>
      </c>
      <c r="L4" s="4">
        <f t="shared" si="2"/>
        <v>2</v>
      </c>
      <c r="M4" s="4">
        <f t="shared" si="3"/>
        <v>832</v>
      </c>
      <c r="N4" s="4">
        <f t="shared" si="4"/>
        <v>1</v>
      </c>
      <c r="O4" s="4">
        <f t="shared" si="5"/>
        <v>2</v>
      </c>
      <c r="Q4">
        <v>59</v>
      </c>
      <c r="R4">
        <v>14.1</v>
      </c>
      <c r="S4" s="2">
        <v>6.74</v>
      </c>
      <c r="T4">
        <v>12.5</v>
      </c>
      <c r="V4">
        <f t="shared" si="6"/>
        <v>5.1277093897638952</v>
      </c>
      <c r="W4">
        <f t="shared" si="7"/>
        <v>0.5911949685534591</v>
      </c>
      <c r="Y4">
        <v>1</v>
      </c>
      <c r="Z4">
        <v>1</v>
      </c>
    </row>
    <row r="5" spans="1:26" x14ac:dyDescent="0.3">
      <c r="A5" t="s">
        <v>16</v>
      </c>
      <c r="B5">
        <v>87</v>
      </c>
      <c r="C5">
        <v>298.3</v>
      </c>
      <c r="D5">
        <v>10</v>
      </c>
      <c r="E5">
        <v>2079</v>
      </c>
      <c r="F5">
        <v>3</v>
      </c>
      <c r="G5">
        <v>2</v>
      </c>
      <c r="H5">
        <v>0.72257169763470064</v>
      </c>
      <c r="J5" s="4">
        <f t="shared" si="0"/>
        <v>62.863737694218955</v>
      </c>
      <c r="K5" s="3">
        <f t="shared" si="1"/>
        <v>215.54313740443121</v>
      </c>
      <c r="L5" s="4">
        <f t="shared" si="2"/>
        <v>7.2257169763470062</v>
      </c>
      <c r="M5" s="4">
        <f t="shared" si="3"/>
        <v>1502.2265593825425</v>
      </c>
      <c r="N5" s="4">
        <f t="shared" si="4"/>
        <v>2.167715092904102</v>
      </c>
      <c r="O5" s="4">
        <f t="shared" si="5"/>
        <v>1.4451433952694013</v>
      </c>
      <c r="Q5">
        <v>90</v>
      </c>
      <c r="R5">
        <v>23.1</v>
      </c>
      <c r="S5">
        <v>6.96</v>
      </c>
      <c r="T5">
        <v>19.899999999999999</v>
      </c>
      <c r="V5">
        <f t="shared" si="6"/>
        <v>9.248953981955049</v>
      </c>
      <c r="W5">
        <f t="shared" si="7"/>
        <v>0.96855345911949697</v>
      </c>
      <c r="Y5">
        <v>0.72257169763470064</v>
      </c>
      <c r="Z5">
        <v>0.9999999999999919</v>
      </c>
    </row>
    <row r="6" spans="1:26" x14ac:dyDescent="0.3">
      <c r="A6" t="s">
        <v>17</v>
      </c>
      <c r="B6">
        <v>24</v>
      </c>
      <c r="C6">
        <v>93.4</v>
      </c>
      <c r="D6">
        <v>0</v>
      </c>
      <c r="E6">
        <v>703</v>
      </c>
      <c r="F6">
        <v>1</v>
      </c>
      <c r="G6">
        <v>0</v>
      </c>
      <c r="H6">
        <v>1</v>
      </c>
      <c r="J6">
        <f t="shared" si="0"/>
        <v>24</v>
      </c>
      <c r="K6">
        <f t="shared" si="1"/>
        <v>93.4</v>
      </c>
      <c r="L6" s="4">
        <f t="shared" si="2"/>
        <v>0</v>
      </c>
      <c r="M6" s="4">
        <f t="shared" si="3"/>
        <v>703</v>
      </c>
      <c r="N6" s="4">
        <f t="shared" si="4"/>
        <v>1</v>
      </c>
      <c r="O6" s="4">
        <f t="shared" si="5"/>
        <v>0</v>
      </c>
      <c r="Q6">
        <v>36</v>
      </c>
      <c r="R6">
        <v>19.52</v>
      </c>
      <c r="S6" s="2">
        <v>7.5</v>
      </c>
      <c r="T6">
        <v>15.6</v>
      </c>
      <c r="V6">
        <f t="shared" si="6"/>
        <v>4.1737175007615246</v>
      </c>
      <c r="W6">
        <f t="shared" si="7"/>
        <v>0.81844863731656192</v>
      </c>
      <c r="Y6">
        <v>1</v>
      </c>
      <c r="Z6">
        <v>1</v>
      </c>
    </row>
    <row r="7" spans="1:26" x14ac:dyDescent="0.3">
      <c r="A7" t="s">
        <v>18</v>
      </c>
      <c r="B7">
        <v>66</v>
      </c>
      <c r="C7">
        <v>212</v>
      </c>
      <c r="D7">
        <v>4</v>
      </c>
      <c r="E7">
        <v>1506</v>
      </c>
      <c r="F7">
        <v>0</v>
      </c>
      <c r="G7">
        <v>0</v>
      </c>
      <c r="H7">
        <v>0.71547781883510586</v>
      </c>
      <c r="J7" s="4">
        <f t="shared" si="0"/>
        <v>47.221536043116984</v>
      </c>
      <c r="K7" s="4">
        <f t="shared" si="1"/>
        <v>151.68129759304244</v>
      </c>
      <c r="L7" s="4">
        <f t="shared" si="2"/>
        <v>2.8619112753404234</v>
      </c>
      <c r="M7" s="4">
        <f t="shared" si="3"/>
        <v>1077.5095951656695</v>
      </c>
      <c r="N7" s="4">
        <f t="shared" si="4"/>
        <v>0</v>
      </c>
      <c r="O7" s="4">
        <f t="shared" si="5"/>
        <v>0</v>
      </c>
      <c r="Q7">
        <v>53</v>
      </c>
      <c r="R7">
        <v>28.41</v>
      </c>
      <c r="S7" s="2">
        <v>7.1</v>
      </c>
      <c r="T7">
        <v>24</v>
      </c>
      <c r="V7">
        <f t="shared" si="6"/>
        <v>6.6948180890092672</v>
      </c>
      <c r="W7">
        <f t="shared" si="7"/>
        <v>1.1911949685534593</v>
      </c>
      <c r="Y7">
        <v>0.71547781883510586</v>
      </c>
      <c r="Z7">
        <v>1</v>
      </c>
    </row>
    <row r="8" spans="1:26" x14ac:dyDescent="0.3">
      <c r="A8" t="s">
        <v>19</v>
      </c>
      <c r="B8">
        <v>65</v>
      </c>
      <c r="C8">
        <v>242</v>
      </c>
      <c r="D8">
        <v>3</v>
      </c>
      <c r="E8">
        <v>1672</v>
      </c>
      <c r="F8">
        <v>2</v>
      </c>
      <c r="G8">
        <v>0</v>
      </c>
      <c r="H8">
        <v>0.83058652216140461</v>
      </c>
      <c r="J8" s="4">
        <f t="shared" si="0"/>
        <v>53.988123940491299</v>
      </c>
      <c r="K8" s="4">
        <f t="shared" si="1"/>
        <v>201.00193836305991</v>
      </c>
      <c r="L8" s="4">
        <f t="shared" si="2"/>
        <v>2.4917595664842138</v>
      </c>
      <c r="M8" s="4">
        <f t="shared" si="3"/>
        <v>1388.7406650538685</v>
      </c>
      <c r="N8" s="4">
        <f t="shared" si="4"/>
        <v>1.6611730443228092</v>
      </c>
      <c r="O8" s="4">
        <f t="shared" si="5"/>
        <v>0</v>
      </c>
      <c r="Q8">
        <v>72</v>
      </c>
      <c r="R8">
        <v>23.22</v>
      </c>
      <c r="S8" s="2">
        <v>6.9</v>
      </c>
      <c r="T8">
        <v>20.100000000000001</v>
      </c>
      <c r="V8">
        <f t="shared" si="6"/>
        <v>8.4325514073334062</v>
      </c>
      <c r="W8">
        <f t="shared" si="7"/>
        <v>0.97358490566037736</v>
      </c>
      <c r="Y8">
        <v>0.83058652216140461</v>
      </c>
      <c r="Z8">
        <v>0.99999999999999967</v>
      </c>
    </row>
    <row r="9" spans="1:26" x14ac:dyDescent="0.3">
      <c r="A9" t="s">
        <v>20</v>
      </c>
      <c r="B9">
        <v>52</v>
      </c>
      <c r="C9">
        <v>163.1</v>
      </c>
      <c r="D9">
        <v>1</v>
      </c>
      <c r="E9">
        <v>1186</v>
      </c>
      <c r="F9">
        <v>0</v>
      </c>
      <c r="G9">
        <v>0</v>
      </c>
      <c r="H9">
        <v>0.85458259932106384</v>
      </c>
      <c r="J9" s="4">
        <f t="shared" si="0"/>
        <v>44.438295164695319</v>
      </c>
      <c r="K9" s="3">
        <f t="shared" si="1"/>
        <v>139.38242194926551</v>
      </c>
      <c r="L9" s="4">
        <f t="shared" si="2"/>
        <v>0.85458259932106384</v>
      </c>
      <c r="M9" s="4">
        <f t="shared" si="3"/>
        <v>1013.5349627947817</v>
      </c>
      <c r="N9" s="4">
        <f t="shared" si="4"/>
        <v>0</v>
      </c>
      <c r="O9" s="4">
        <f t="shared" si="5"/>
        <v>0</v>
      </c>
      <c r="Q9">
        <v>49</v>
      </c>
      <c r="R9">
        <v>24.2</v>
      </c>
      <c r="S9" s="2">
        <v>7.26</v>
      </c>
      <c r="T9">
        <v>19.899999999999999</v>
      </c>
      <c r="V9">
        <f t="shared" si="6"/>
        <v>6.297911409114918</v>
      </c>
      <c r="W9">
        <f t="shared" si="7"/>
        <v>1.0146750524109014</v>
      </c>
      <c r="Y9">
        <v>0.85458259932106384</v>
      </c>
      <c r="Z9">
        <v>0.99999999999999922</v>
      </c>
    </row>
    <row r="10" spans="1:26" x14ac:dyDescent="0.3">
      <c r="A10" t="s">
        <v>21</v>
      </c>
      <c r="B10">
        <v>23</v>
      </c>
      <c r="C10">
        <v>79.3</v>
      </c>
      <c r="D10">
        <v>1</v>
      </c>
      <c r="E10">
        <v>711</v>
      </c>
      <c r="F10">
        <v>0</v>
      </c>
      <c r="G10">
        <v>0</v>
      </c>
      <c r="H10">
        <v>0.75402086816164182</v>
      </c>
      <c r="J10" s="4">
        <f t="shared" si="0"/>
        <v>17.342479967717761</v>
      </c>
      <c r="K10" s="4">
        <f t="shared" si="1"/>
        <v>59.793854845218192</v>
      </c>
      <c r="L10" s="4">
        <f t="shared" si="2"/>
        <v>0.75402086816164182</v>
      </c>
      <c r="M10" s="4">
        <f t="shared" si="3"/>
        <v>536.1088372629273</v>
      </c>
      <c r="N10" s="4">
        <f t="shared" si="4"/>
        <v>0</v>
      </c>
      <c r="O10" s="4">
        <f t="shared" si="5"/>
        <v>0</v>
      </c>
      <c r="Q10">
        <v>24</v>
      </c>
      <c r="R10">
        <v>29.62</v>
      </c>
      <c r="S10" s="2">
        <v>8.94</v>
      </c>
      <c r="T10">
        <v>19.8</v>
      </c>
      <c r="V10">
        <f t="shared" si="6"/>
        <v>3.1555052984963279</v>
      </c>
      <c r="W10">
        <f t="shared" si="7"/>
        <v>1.2419287211740042</v>
      </c>
      <c r="Y10">
        <v>0.75402086816164182</v>
      </c>
      <c r="Z10">
        <v>1.0000000000000004</v>
      </c>
    </row>
    <row r="11" spans="1:26" x14ac:dyDescent="0.3">
      <c r="A11" t="s">
        <v>22</v>
      </c>
      <c r="B11">
        <v>10</v>
      </c>
      <c r="C11">
        <v>38</v>
      </c>
      <c r="D11">
        <v>2</v>
      </c>
      <c r="E11">
        <v>334</v>
      </c>
      <c r="F11">
        <v>1</v>
      </c>
      <c r="G11">
        <v>0</v>
      </c>
      <c r="H11">
        <v>0.84828212010644577</v>
      </c>
      <c r="J11" s="4">
        <f t="shared" si="0"/>
        <v>8.482821201064457</v>
      </c>
      <c r="K11" s="3">
        <f t="shared" si="1"/>
        <v>32.234720564044942</v>
      </c>
      <c r="L11" s="4">
        <f t="shared" si="2"/>
        <v>1.6965642402128915</v>
      </c>
      <c r="M11" s="4">
        <f t="shared" si="3"/>
        <v>283.32622811555291</v>
      </c>
      <c r="N11" s="4">
        <f t="shared" si="4"/>
        <v>0.84828212010644577</v>
      </c>
      <c r="O11" s="4">
        <f t="shared" si="5"/>
        <v>0</v>
      </c>
      <c r="Q11">
        <v>12</v>
      </c>
      <c r="R11">
        <v>27.83</v>
      </c>
      <c r="S11" s="2">
        <v>8.7799999999999994</v>
      </c>
      <c r="T11">
        <v>19</v>
      </c>
      <c r="V11">
        <f t="shared" si="6"/>
        <v>1.6481784108841893</v>
      </c>
      <c r="W11">
        <f t="shared" si="7"/>
        <v>1.1668763102725366</v>
      </c>
      <c r="Y11">
        <v>0.84828212010644577</v>
      </c>
      <c r="Z11">
        <v>1</v>
      </c>
    </row>
    <row r="12" spans="1:26" x14ac:dyDescent="0.3">
      <c r="A12" t="s">
        <v>23</v>
      </c>
      <c r="B12">
        <v>8</v>
      </c>
      <c r="C12">
        <v>23.1</v>
      </c>
      <c r="D12">
        <v>0</v>
      </c>
      <c r="E12">
        <v>243</v>
      </c>
      <c r="F12">
        <v>0</v>
      </c>
      <c r="G12">
        <v>0</v>
      </c>
      <c r="H12">
        <v>1.0000000000000002</v>
      </c>
      <c r="J12">
        <f t="shared" si="0"/>
        <v>8.0000000000000018</v>
      </c>
      <c r="K12">
        <f t="shared" si="1"/>
        <v>23.100000000000005</v>
      </c>
      <c r="L12" s="4">
        <f t="shared" si="2"/>
        <v>0</v>
      </c>
      <c r="M12" s="4">
        <f t="shared" si="3"/>
        <v>243.00000000000006</v>
      </c>
      <c r="N12" s="4">
        <f t="shared" si="4"/>
        <v>0</v>
      </c>
      <c r="O12" s="4">
        <f t="shared" si="5"/>
        <v>0</v>
      </c>
      <c r="Q12">
        <v>11</v>
      </c>
      <c r="R12">
        <v>22.09</v>
      </c>
      <c r="S12" s="2">
        <v>10.48</v>
      </c>
      <c r="T12">
        <v>12.6</v>
      </c>
      <c r="V12">
        <f t="shared" si="6"/>
        <v>1.4342549290138389</v>
      </c>
      <c r="W12">
        <f t="shared" si="7"/>
        <v>0.92620545073375271</v>
      </c>
      <c r="Y12">
        <v>1.0000000000000002</v>
      </c>
      <c r="Z12">
        <v>1.0000000000000036</v>
      </c>
    </row>
    <row r="13" spans="1:26" x14ac:dyDescent="0.3">
      <c r="A13" t="s">
        <v>24</v>
      </c>
      <c r="B13">
        <v>20</v>
      </c>
      <c r="C13">
        <v>66.2</v>
      </c>
      <c r="D13">
        <v>1</v>
      </c>
      <c r="E13">
        <v>618</v>
      </c>
      <c r="F13">
        <v>1</v>
      </c>
      <c r="G13">
        <v>0</v>
      </c>
      <c r="H13">
        <v>0.67382103549935501</v>
      </c>
      <c r="J13" s="4">
        <f t="shared" si="0"/>
        <v>13.476420709987099</v>
      </c>
      <c r="K13" s="4">
        <f t="shared" si="1"/>
        <v>44.606952550057301</v>
      </c>
      <c r="L13" s="4">
        <f t="shared" si="2"/>
        <v>0.67382103549935501</v>
      </c>
      <c r="M13" s="4">
        <f t="shared" si="3"/>
        <v>416.42139993860138</v>
      </c>
      <c r="N13" s="4">
        <f t="shared" si="4"/>
        <v>0.67382103549935501</v>
      </c>
      <c r="O13" s="4">
        <f t="shared" si="5"/>
        <v>0</v>
      </c>
      <c r="Q13">
        <v>19</v>
      </c>
      <c r="R13">
        <v>32.520000000000003</v>
      </c>
      <c r="S13" s="2">
        <v>9.31</v>
      </c>
      <c r="T13">
        <v>20.9</v>
      </c>
      <c r="V13">
        <f t="shared" si="6"/>
        <v>2.4511942054696436</v>
      </c>
      <c r="W13">
        <f t="shared" si="7"/>
        <v>1.3635220125786165</v>
      </c>
      <c r="Y13">
        <v>0.67382103549935501</v>
      </c>
      <c r="Z13">
        <v>0.99999999999999978</v>
      </c>
    </row>
    <row r="14" spans="1:26" x14ac:dyDescent="0.3">
      <c r="A14" t="s">
        <v>25</v>
      </c>
      <c r="B14">
        <v>25</v>
      </c>
      <c r="C14">
        <v>90</v>
      </c>
      <c r="D14">
        <v>2</v>
      </c>
      <c r="E14">
        <v>747</v>
      </c>
      <c r="F14">
        <v>0</v>
      </c>
      <c r="G14">
        <v>1</v>
      </c>
      <c r="H14">
        <v>0.91042818567571049</v>
      </c>
      <c r="J14" s="4">
        <f t="shared" si="0"/>
        <v>22.760704641892762</v>
      </c>
      <c r="K14" s="4">
        <f t="shared" si="1"/>
        <v>81.938536710813949</v>
      </c>
      <c r="L14" s="4">
        <f t="shared" si="2"/>
        <v>1.820856371351421</v>
      </c>
      <c r="M14" s="4">
        <f t="shared" si="3"/>
        <v>680.08985469975573</v>
      </c>
      <c r="N14" s="4">
        <f t="shared" si="4"/>
        <v>0</v>
      </c>
      <c r="O14" s="4">
        <f t="shared" si="5"/>
        <v>0.91042818567571049</v>
      </c>
      <c r="Q14">
        <v>31</v>
      </c>
      <c r="R14">
        <v>24.09</v>
      </c>
      <c r="S14" s="2">
        <v>8.3000000000000007</v>
      </c>
      <c r="T14">
        <v>17.399999999999999</v>
      </c>
      <c r="V14">
        <f t="shared" si="6"/>
        <v>4.0246616968621236</v>
      </c>
      <c r="W14">
        <f t="shared" si="7"/>
        <v>1.010062893081761</v>
      </c>
      <c r="Y14">
        <v>0.91042818567571049</v>
      </c>
      <c r="Z14">
        <v>1</v>
      </c>
    </row>
    <row r="15" spans="1:26" x14ac:dyDescent="0.3">
      <c r="A15" t="s">
        <v>26</v>
      </c>
      <c r="B15">
        <v>80</v>
      </c>
      <c r="C15">
        <v>294</v>
      </c>
      <c r="D15">
        <v>2</v>
      </c>
      <c r="E15">
        <v>2409</v>
      </c>
      <c r="F15">
        <v>2</v>
      </c>
      <c r="G15">
        <v>1</v>
      </c>
      <c r="H15">
        <v>0.7859632255738489</v>
      </c>
      <c r="J15" s="4">
        <f t="shared" si="0"/>
        <v>62.877058045907916</v>
      </c>
      <c r="K15" s="3">
        <f t="shared" si="1"/>
        <v>231.07318831871157</v>
      </c>
      <c r="L15" s="4">
        <f t="shared" si="2"/>
        <v>1.5719264511476978</v>
      </c>
      <c r="M15" s="4">
        <f t="shared" si="3"/>
        <v>1893.3854104074021</v>
      </c>
      <c r="N15" s="4">
        <f t="shared" si="4"/>
        <v>1.5719264511476978</v>
      </c>
      <c r="O15" s="4">
        <f t="shared" si="5"/>
        <v>0.7859632255738489</v>
      </c>
      <c r="Q15">
        <v>96</v>
      </c>
      <c r="R15">
        <v>25.09</v>
      </c>
      <c r="S15" s="2">
        <v>8.19</v>
      </c>
      <c r="T15">
        <v>18.3</v>
      </c>
      <c r="V15">
        <f t="shared" si="6"/>
        <v>11.190794962686788</v>
      </c>
      <c r="W15">
        <f t="shared" si="7"/>
        <v>1.0519916142557653</v>
      </c>
      <c r="Y15">
        <v>0.7859632255738489</v>
      </c>
      <c r="Z15">
        <v>0.99999999999999001</v>
      </c>
    </row>
    <row r="16" spans="1:26" x14ac:dyDescent="0.3">
      <c r="A16" t="s">
        <v>27</v>
      </c>
      <c r="B16">
        <v>92</v>
      </c>
      <c r="C16">
        <v>238.5</v>
      </c>
      <c r="D16">
        <v>1</v>
      </c>
      <c r="E16">
        <v>1950</v>
      </c>
      <c r="F16">
        <v>3</v>
      </c>
      <c r="G16">
        <v>0</v>
      </c>
      <c r="H16">
        <v>0.71675061869235634</v>
      </c>
      <c r="J16" s="4">
        <f t="shared" si="0"/>
        <v>65.941056919696777</v>
      </c>
      <c r="K16" s="4">
        <f t="shared" si="1"/>
        <v>170.94502255812699</v>
      </c>
      <c r="L16" s="4">
        <f t="shared" si="2"/>
        <v>0.71675061869235634</v>
      </c>
      <c r="M16" s="4">
        <f t="shared" si="3"/>
        <v>1397.6637064500949</v>
      </c>
      <c r="N16" s="4">
        <f t="shared" si="4"/>
        <v>2.1502518560770691</v>
      </c>
      <c r="O16" s="4">
        <f t="shared" si="5"/>
        <v>0</v>
      </c>
      <c r="Q16">
        <v>73</v>
      </c>
      <c r="R16">
        <v>26.71</v>
      </c>
      <c r="S16" s="2">
        <v>8.16</v>
      </c>
      <c r="T16">
        <v>19.600000000000001</v>
      </c>
      <c r="V16">
        <f t="shared" si="6"/>
        <v>8.8177360094344444</v>
      </c>
      <c r="W16">
        <f t="shared" si="7"/>
        <v>1.119916142557652</v>
      </c>
      <c r="Y16">
        <v>0.71675061869235634</v>
      </c>
      <c r="Z16">
        <v>0.99999999999999978</v>
      </c>
    </row>
    <row r="17" spans="1:26" x14ac:dyDescent="0.3">
      <c r="A17" t="s">
        <v>28</v>
      </c>
      <c r="B17">
        <v>25</v>
      </c>
      <c r="C17">
        <v>84.2</v>
      </c>
      <c r="D17">
        <v>0</v>
      </c>
      <c r="E17">
        <v>772</v>
      </c>
      <c r="F17">
        <v>1</v>
      </c>
      <c r="G17">
        <v>0</v>
      </c>
      <c r="H17">
        <v>0.91616699813860258</v>
      </c>
      <c r="J17" s="4">
        <f t="shared" si="0"/>
        <v>22.904174953465066</v>
      </c>
      <c r="K17" s="3">
        <f t="shared" si="1"/>
        <v>77.141261243270336</v>
      </c>
      <c r="L17" s="4">
        <f t="shared" si="2"/>
        <v>0</v>
      </c>
      <c r="M17" s="4">
        <f t="shared" si="3"/>
        <v>707.28092256300124</v>
      </c>
      <c r="N17" s="4">
        <f t="shared" si="4"/>
        <v>0.91616699813860258</v>
      </c>
      <c r="O17" s="4">
        <f t="shared" si="5"/>
        <v>0</v>
      </c>
      <c r="Q17">
        <v>33</v>
      </c>
      <c r="R17">
        <v>23.29</v>
      </c>
      <c r="S17" s="2">
        <v>9.15</v>
      </c>
      <c r="T17">
        <v>15.3</v>
      </c>
      <c r="V17">
        <f t="shared" si="6"/>
        <v>4.1637124361820348</v>
      </c>
      <c r="W17">
        <f t="shared" si="7"/>
        <v>0.97651991614255762</v>
      </c>
      <c r="Y17">
        <v>0.91616699813860258</v>
      </c>
      <c r="Z17">
        <v>0.99999999999999967</v>
      </c>
    </row>
    <row r="18" spans="1:26" x14ac:dyDescent="0.3">
      <c r="A18" t="s">
        <v>29</v>
      </c>
      <c r="B18">
        <v>21</v>
      </c>
      <c r="C18">
        <v>36.299999999999997</v>
      </c>
      <c r="D18">
        <v>0</v>
      </c>
      <c r="E18">
        <v>360</v>
      </c>
      <c r="F18">
        <v>0</v>
      </c>
      <c r="G18">
        <v>0</v>
      </c>
      <c r="H18">
        <v>0.82837199753644009</v>
      </c>
      <c r="J18" s="4">
        <f t="shared" si="0"/>
        <v>17.395811948265241</v>
      </c>
      <c r="K18" s="3">
        <f t="shared" si="1"/>
        <v>30.069903510572772</v>
      </c>
      <c r="L18" s="4">
        <f t="shared" si="2"/>
        <v>0</v>
      </c>
      <c r="M18" s="4">
        <f t="shared" si="3"/>
        <v>298.21391911311844</v>
      </c>
      <c r="N18" s="4">
        <f t="shared" si="4"/>
        <v>0</v>
      </c>
      <c r="O18" s="4">
        <f t="shared" si="5"/>
        <v>0</v>
      </c>
      <c r="Q18">
        <v>8</v>
      </c>
      <c r="R18">
        <v>45</v>
      </c>
      <c r="S18" s="2">
        <v>9.86</v>
      </c>
      <c r="T18">
        <v>27.3</v>
      </c>
      <c r="V18">
        <f t="shared" si="6"/>
        <v>1.9762688744107455</v>
      </c>
      <c r="W18">
        <f t="shared" si="7"/>
        <v>1.8867924528301887</v>
      </c>
      <c r="Y18">
        <v>0.82837199753644009</v>
      </c>
      <c r="Z18">
        <v>0.99999999999999989</v>
      </c>
    </row>
    <row r="19" spans="1:26" x14ac:dyDescent="0.3">
      <c r="A19" t="s">
        <v>30</v>
      </c>
      <c r="B19">
        <v>43</v>
      </c>
      <c r="C19">
        <v>134.30000000000001</v>
      </c>
      <c r="D19">
        <v>1</v>
      </c>
      <c r="E19">
        <v>968</v>
      </c>
      <c r="F19">
        <v>0</v>
      </c>
      <c r="G19">
        <v>0</v>
      </c>
      <c r="H19">
        <v>0.72307174836813715</v>
      </c>
      <c r="J19" s="4">
        <f t="shared" si="0"/>
        <v>31.092085179829898</v>
      </c>
      <c r="K19" s="3">
        <f t="shared" si="1"/>
        <v>97.10853580584083</v>
      </c>
      <c r="L19" s="4">
        <f t="shared" si="2"/>
        <v>0.72307174836813715</v>
      </c>
      <c r="M19" s="4">
        <f t="shared" si="3"/>
        <v>699.93345242035673</v>
      </c>
      <c r="N19" s="4">
        <f t="shared" si="4"/>
        <v>0</v>
      </c>
      <c r="O19" s="4">
        <f t="shared" si="5"/>
        <v>0</v>
      </c>
      <c r="Q19">
        <v>34</v>
      </c>
      <c r="R19">
        <v>28.47</v>
      </c>
      <c r="S19" s="2">
        <v>7.19</v>
      </c>
      <c r="T19">
        <v>23.7</v>
      </c>
      <c r="V19">
        <f t="shared" si="6"/>
        <v>4.3607626350290216</v>
      </c>
      <c r="W19">
        <f t="shared" si="7"/>
        <v>1.1937106918238993</v>
      </c>
      <c r="Y19">
        <v>0.72307174836813715</v>
      </c>
      <c r="Z19">
        <v>0.99999999999999956</v>
      </c>
    </row>
    <row r="20" spans="1:26" x14ac:dyDescent="0.3">
      <c r="A20" t="s">
        <v>31</v>
      </c>
      <c r="B20">
        <v>5</v>
      </c>
      <c r="C20">
        <v>20</v>
      </c>
      <c r="D20">
        <v>0</v>
      </c>
      <c r="E20">
        <v>220</v>
      </c>
      <c r="F20">
        <v>0</v>
      </c>
      <c r="G20">
        <v>0</v>
      </c>
      <c r="H20">
        <v>1.0000000000000002</v>
      </c>
      <c r="J20">
        <f t="shared" si="0"/>
        <v>5.0000000000000009</v>
      </c>
      <c r="K20">
        <f t="shared" si="1"/>
        <v>20.000000000000004</v>
      </c>
      <c r="L20" s="4">
        <f t="shared" si="2"/>
        <v>0</v>
      </c>
      <c r="M20" s="4">
        <f t="shared" si="3"/>
        <v>220.00000000000006</v>
      </c>
      <c r="N20" s="4">
        <f t="shared" si="4"/>
        <v>0</v>
      </c>
      <c r="O20" s="4">
        <f t="shared" si="5"/>
        <v>0</v>
      </c>
      <c r="Q20">
        <v>8</v>
      </c>
      <c r="R20">
        <v>27.5</v>
      </c>
      <c r="S20" s="2">
        <v>11</v>
      </c>
      <c r="T20">
        <v>15</v>
      </c>
      <c r="V20">
        <f t="shared" si="6"/>
        <v>1.2345380374730477</v>
      </c>
      <c r="W20">
        <f t="shared" si="7"/>
        <v>1.1530398322851154</v>
      </c>
      <c r="Y20">
        <v>1.0000000000000002</v>
      </c>
      <c r="Z20">
        <v>1</v>
      </c>
    </row>
    <row r="21" spans="1:26" x14ac:dyDescent="0.3">
      <c r="A21" t="s">
        <v>32</v>
      </c>
      <c r="B21">
        <v>14</v>
      </c>
      <c r="C21">
        <v>43.5</v>
      </c>
      <c r="D21">
        <v>0</v>
      </c>
      <c r="E21">
        <v>412</v>
      </c>
      <c r="F21">
        <v>0</v>
      </c>
      <c r="G21">
        <v>0</v>
      </c>
      <c r="H21">
        <v>0.68821557830480096</v>
      </c>
      <c r="J21" s="4">
        <f t="shared" si="0"/>
        <v>9.6350180962672134</v>
      </c>
      <c r="K21" s="4">
        <f t="shared" si="1"/>
        <v>29.937377656258843</v>
      </c>
      <c r="L21" s="4">
        <f t="shared" si="2"/>
        <v>0</v>
      </c>
      <c r="M21" s="4">
        <f t="shared" si="3"/>
        <v>283.54481826157797</v>
      </c>
      <c r="N21" s="4">
        <f t="shared" si="4"/>
        <v>0</v>
      </c>
      <c r="O21" s="4">
        <f t="shared" si="5"/>
        <v>0</v>
      </c>
      <c r="Q21">
        <v>12</v>
      </c>
      <c r="R21">
        <v>34.33</v>
      </c>
      <c r="S21" s="2">
        <v>9.39</v>
      </c>
      <c r="T21">
        <v>21.9</v>
      </c>
      <c r="V21">
        <f t="shared" si="6"/>
        <v>1.6821238831553282</v>
      </c>
      <c r="W21">
        <f t="shared" si="7"/>
        <v>1.4394129979035639</v>
      </c>
      <c r="Y21">
        <v>0.68821557830480096</v>
      </c>
      <c r="Z21">
        <v>1</v>
      </c>
    </row>
    <row r="22" spans="1:26" x14ac:dyDescent="0.3">
      <c r="A22" t="s">
        <v>33</v>
      </c>
      <c r="B22">
        <v>19</v>
      </c>
      <c r="C22">
        <v>68.2</v>
      </c>
      <c r="D22">
        <v>1</v>
      </c>
      <c r="E22">
        <v>554</v>
      </c>
      <c r="F22">
        <v>1</v>
      </c>
      <c r="G22">
        <v>0</v>
      </c>
      <c r="H22">
        <v>0.61335259880460558</v>
      </c>
      <c r="J22" s="4">
        <f t="shared" si="0"/>
        <v>11.653699377287506</v>
      </c>
      <c r="K22" s="4">
        <f t="shared" si="1"/>
        <v>41.8306472384741</v>
      </c>
      <c r="L22" s="4">
        <f t="shared" si="2"/>
        <v>0.61335259880460558</v>
      </c>
      <c r="M22" s="4">
        <f t="shared" si="3"/>
        <v>339.79733973775149</v>
      </c>
      <c r="N22" s="4">
        <f t="shared" si="4"/>
        <v>0.61335259880460558</v>
      </c>
      <c r="O22" s="4">
        <f t="shared" si="5"/>
        <v>0</v>
      </c>
      <c r="Q22">
        <v>15</v>
      </c>
      <c r="R22">
        <v>36.93</v>
      </c>
      <c r="S22" s="2">
        <v>8.1</v>
      </c>
      <c r="T22">
        <v>27.3</v>
      </c>
      <c r="V22">
        <f t="shared" si="6"/>
        <v>2.0188978112766711</v>
      </c>
      <c r="W22">
        <f t="shared" si="7"/>
        <v>1.5484276729559749</v>
      </c>
      <c r="Y22">
        <v>0.61335259880460558</v>
      </c>
      <c r="Z22">
        <v>1.0000000000000002</v>
      </c>
    </row>
    <row r="23" spans="1:26" x14ac:dyDescent="0.3">
      <c r="A23" t="s">
        <v>34</v>
      </c>
      <c r="B23">
        <v>9</v>
      </c>
      <c r="C23">
        <v>9.1</v>
      </c>
      <c r="D23">
        <v>0</v>
      </c>
      <c r="E23">
        <v>75</v>
      </c>
      <c r="F23">
        <v>0</v>
      </c>
      <c r="G23">
        <v>0</v>
      </c>
      <c r="H23">
        <v>1</v>
      </c>
      <c r="J23">
        <f t="shared" si="0"/>
        <v>9</v>
      </c>
      <c r="K23">
        <f t="shared" si="1"/>
        <v>9.1</v>
      </c>
      <c r="L23" s="4">
        <f t="shared" si="2"/>
        <v>0</v>
      </c>
      <c r="M23" s="4">
        <f t="shared" si="3"/>
        <v>75</v>
      </c>
      <c r="N23" s="4">
        <f t="shared" si="4"/>
        <v>0</v>
      </c>
      <c r="O23" s="4">
        <f t="shared" si="5"/>
        <v>0</v>
      </c>
      <c r="Q23">
        <v>5</v>
      </c>
      <c r="R23">
        <v>15</v>
      </c>
      <c r="S23" s="2">
        <v>8.18</v>
      </c>
      <c r="T23">
        <v>11</v>
      </c>
      <c r="V23">
        <f t="shared" si="6"/>
        <v>0.62893081761006298</v>
      </c>
      <c r="W23">
        <f t="shared" si="7"/>
        <v>0.62893081761006298</v>
      </c>
      <c r="Y23">
        <v>1</v>
      </c>
      <c r="Z23">
        <v>1</v>
      </c>
    </row>
    <row r="24" spans="1:26" x14ac:dyDescent="0.3">
      <c r="A24" t="s">
        <v>35</v>
      </c>
      <c r="B24">
        <v>6</v>
      </c>
      <c r="C24">
        <v>22</v>
      </c>
      <c r="D24">
        <v>0</v>
      </c>
      <c r="E24">
        <v>167</v>
      </c>
      <c r="F24">
        <v>0</v>
      </c>
      <c r="G24">
        <v>0</v>
      </c>
      <c r="H24">
        <v>1.0000000000000002</v>
      </c>
      <c r="J24">
        <f t="shared" si="0"/>
        <v>6.0000000000000018</v>
      </c>
      <c r="K24">
        <f t="shared" si="1"/>
        <v>22.000000000000004</v>
      </c>
      <c r="L24" s="4">
        <f t="shared" si="2"/>
        <v>0</v>
      </c>
      <c r="M24" s="4">
        <f t="shared" si="3"/>
        <v>167.00000000000003</v>
      </c>
      <c r="N24" s="4">
        <f t="shared" si="4"/>
        <v>0</v>
      </c>
      <c r="O24" s="4">
        <f t="shared" si="5"/>
        <v>0</v>
      </c>
      <c r="Q24">
        <v>7</v>
      </c>
      <c r="R24">
        <v>23.85</v>
      </c>
      <c r="S24" s="2">
        <v>7.59</v>
      </c>
      <c r="T24">
        <v>18.8</v>
      </c>
      <c r="V24">
        <f t="shared" si="6"/>
        <v>0.99999999999999978</v>
      </c>
      <c r="W24">
        <f t="shared" si="7"/>
        <v>1.0000000000000002</v>
      </c>
      <c r="Y24">
        <v>1.0000000000000002</v>
      </c>
      <c r="Z24">
        <v>1.0000000000000002</v>
      </c>
    </row>
    <row r="26" spans="1:26" x14ac:dyDescent="0.3">
      <c r="A26" t="s">
        <v>36</v>
      </c>
      <c r="B26" s="5">
        <v>2.851989225154845E-2</v>
      </c>
      <c r="C26" s="5">
        <v>0</v>
      </c>
      <c r="D26" s="5">
        <v>0</v>
      </c>
      <c r="E26" s="5">
        <v>4.9633571646150263E-3</v>
      </c>
      <c r="F26" s="5">
        <v>0</v>
      </c>
      <c r="G26" s="5">
        <v>0</v>
      </c>
      <c r="J26" s="5">
        <v>2.8519892251548475E-2</v>
      </c>
      <c r="K26" s="5">
        <v>0</v>
      </c>
      <c r="L26" s="5">
        <v>0</v>
      </c>
      <c r="M26" s="5">
        <v>4.9633571646150228E-3</v>
      </c>
      <c r="N26" s="5">
        <v>0</v>
      </c>
      <c r="O26" s="5">
        <v>0</v>
      </c>
      <c r="Q26" s="6">
        <v>0</v>
      </c>
      <c r="R26" s="6">
        <v>4.1928721174004195E-2</v>
      </c>
      <c r="S26" s="7">
        <v>0</v>
      </c>
      <c r="T26" s="6">
        <v>0</v>
      </c>
    </row>
    <row r="28" spans="1:26" x14ac:dyDescent="0.3">
      <c r="A28" t="s">
        <v>37</v>
      </c>
      <c r="B28">
        <v>23</v>
      </c>
    </row>
    <row r="29" spans="1:26" x14ac:dyDescent="0.3">
      <c r="A29" t="s">
        <v>11</v>
      </c>
      <c r="B29" s="8" cm="1">
        <f t="array" ref="B29">INDEX(V2:V24,B28,0)</f>
        <v>0.99999999999999978</v>
      </c>
    </row>
    <row r="30" spans="1:26" x14ac:dyDescent="0.3">
      <c r="A30" t="s">
        <v>12</v>
      </c>
      <c r="B30" s="8" cm="1">
        <f t="array" ref="B30">INDEX(W2:W24,B28,0)</f>
        <v>1.0000000000000002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7DD81-D3E6-4323-A711-865E1D558A0A}">
  <sheetPr codeName="Sheet3"/>
  <dimension ref="A1:Q30"/>
  <sheetViews>
    <sheetView zoomScale="66" workbookViewId="0">
      <selection activeCell="O32" sqref="O32"/>
    </sheetView>
  </sheetViews>
  <sheetFormatPr defaultRowHeight="14.4" x14ac:dyDescent="0.3"/>
  <cols>
    <col min="1" max="1" width="27" customWidth="1"/>
    <col min="12" max="12" width="13.5546875" customWidth="1"/>
    <col min="14" max="14" width="22.109375" customWidth="1"/>
    <col min="15" max="15" width="21" customWidth="1"/>
    <col min="17" max="17" width="9.77734375" customWidth="1"/>
  </cols>
  <sheetData>
    <row r="1" spans="1:17" x14ac:dyDescent="0.3">
      <c r="A1" s="1" t="s">
        <v>10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N1" s="1" t="s">
        <v>11</v>
      </c>
      <c r="O1" s="1" t="s">
        <v>12</v>
      </c>
      <c r="Q1" s="1" t="s">
        <v>38</v>
      </c>
    </row>
    <row r="2" spans="1:17" x14ac:dyDescent="0.3">
      <c r="A2" t="s">
        <v>13</v>
      </c>
      <c r="B2">
        <v>62</v>
      </c>
      <c r="C2">
        <v>221.5</v>
      </c>
      <c r="D2">
        <v>10</v>
      </c>
      <c r="E2">
        <v>1455</v>
      </c>
      <c r="F2">
        <v>0</v>
      </c>
      <c r="G2">
        <v>0</v>
      </c>
      <c r="I2">
        <v>74</v>
      </c>
      <c r="J2">
        <v>19.66</v>
      </c>
      <c r="K2" s="2">
        <v>19.66</v>
      </c>
      <c r="L2">
        <v>17.899999999999999</v>
      </c>
      <c r="N2">
        <f>SUMPRODUCT($B$26:$G$26,B2:G2)</f>
        <v>0.91699604743065621</v>
      </c>
      <c r="O2">
        <f>SUMPRODUCT($I$26:$L$26,I2:L2)</f>
        <v>2.5902503293807779</v>
      </c>
      <c r="Q2">
        <v>1.0000000000000013</v>
      </c>
    </row>
    <row r="3" spans="1:17" x14ac:dyDescent="0.3">
      <c r="A3" t="s">
        <v>14</v>
      </c>
      <c r="B3">
        <v>44</v>
      </c>
      <c r="C3">
        <v>149.5</v>
      </c>
      <c r="D3">
        <v>2</v>
      </c>
      <c r="E3">
        <v>1294</v>
      </c>
      <c r="F3">
        <v>1</v>
      </c>
      <c r="G3">
        <v>0</v>
      </c>
      <c r="I3">
        <v>62</v>
      </c>
      <c r="J3">
        <v>20.87</v>
      </c>
      <c r="K3" s="2">
        <v>8.6300000000000008</v>
      </c>
      <c r="L3">
        <v>14.5</v>
      </c>
      <c r="N3">
        <f t="shared" ref="N3:N24" si="0">SUMPRODUCT($B$26:$G$26,B3:G3)</f>
        <v>0.18339920948613125</v>
      </c>
      <c r="O3">
        <f t="shared" ref="O3:O24" si="1">SUMPRODUCT($I$26:$L$26,I3:L3)</f>
        <v>1.1370223978919693</v>
      </c>
      <c r="Q3">
        <v>1.0000000000000004</v>
      </c>
    </row>
    <row r="4" spans="1:17" x14ac:dyDescent="0.3">
      <c r="A4" t="s">
        <v>15</v>
      </c>
      <c r="B4">
        <v>35</v>
      </c>
      <c r="C4">
        <v>123.2</v>
      </c>
      <c r="D4">
        <v>2</v>
      </c>
      <c r="E4">
        <v>832</v>
      </c>
      <c r="F4">
        <v>1</v>
      </c>
      <c r="G4">
        <v>2</v>
      </c>
      <c r="I4">
        <v>59</v>
      </c>
      <c r="J4">
        <v>14.1</v>
      </c>
      <c r="K4" s="2">
        <v>6.74</v>
      </c>
      <c r="L4">
        <v>12.5</v>
      </c>
      <c r="N4">
        <f t="shared" si="0"/>
        <v>0.18339920948613125</v>
      </c>
      <c r="O4">
        <f t="shared" si="1"/>
        <v>0.88801054018445802</v>
      </c>
      <c r="Q4">
        <v>0.999999999999999</v>
      </c>
    </row>
    <row r="5" spans="1:17" x14ac:dyDescent="0.3">
      <c r="A5" t="s">
        <v>16</v>
      </c>
      <c r="B5">
        <v>87</v>
      </c>
      <c r="C5">
        <v>298.3</v>
      </c>
      <c r="D5">
        <v>10</v>
      </c>
      <c r="E5">
        <v>2079</v>
      </c>
      <c r="F5">
        <v>3</v>
      </c>
      <c r="G5">
        <v>2</v>
      </c>
      <c r="I5">
        <v>90</v>
      </c>
      <c r="J5">
        <v>23.1</v>
      </c>
      <c r="K5">
        <v>6.96</v>
      </c>
      <c r="L5">
        <v>19.899999999999999</v>
      </c>
      <c r="N5">
        <f t="shared" si="0"/>
        <v>0.91699604743065621</v>
      </c>
      <c r="O5">
        <f t="shared" si="1"/>
        <v>0.91699604743083496</v>
      </c>
      <c r="Q5">
        <v>1</v>
      </c>
    </row>
    <row r="6" spans="1:17" x14ac:dyDescent="0.3">
      <c r="A6" t="s">
        <v>17</v>
      </c>
      <c r="B6">
        <v>24</v>
      </c>
      <c r="C6">
        <v>93.4</v>
      </c>
      <c r="D6">
        <v>0</v>
      </c>
      <c r="E6">
        <v>703</v>
      </c>
      <c r="F6">
        <v>1</v>
      </c>
      <c r="G6">
        <v>0</v>
      </c>
      <c r="I6">
        <v>36</v>
      </c>
      <c r="J6">
        <v>19.52</v>
      </c>
      <c r="K6" s="2">
        <v>7.5</v>
      </c>
      <c r="L6">
        <v>15.6</v>
      </c>
      <c r="N6">
        <f t="shared" si="0"/>
        <v>0</v>
      </c>
      <c r="O6">
        <f t="shared" si="1"/>
        <v>0.98814229249012386</v>
      </c>
      <c r="Q6">
        <v>1.0000000000000009</v>
      </c>
    </row>
    <row r="7" spans="1:17" x14ac:dyDescent="0.3">
      <c r="A7" t="s">
        <v>18</v>
      </c>
      <c r="B7">
        <v>66</v>
      </c>
      <c r="C7">
        <v>212</v>
      </c>
      <c r="D7">
        <v>4</v>
      </c>
      <c r="E7">
        <v>1506</v>
      </c>
      <c r="F7">
        <v>0</v>
      </c>
      <c r="G7">
        <v>0</v>
      </c>
      <c r="I7">
        <v>53</v>
      </c>
      <c r="J7">
        <v>28.41</v>
      </c>
      <c r="K7" s="2">
        <v>7.1</v>
      </c>
      <c r="L7">
        <v>24</v>
      </c>
      <c r="N7">
        <f t="shared" si="0"/>
        <v>0.36679841897226251</v>
      </c>
      <c r="O7">
        <f t="shared" si="1"/>
        <v>0.93544137022398388</v>
      </c>
      <c r="Q7">
        <v>1.0000000000000024</v>
      </c>
    </row>
    <row r="8" spans="1:17" x14ac:dyDescent="0.3">
      <c r="A8" t="s">
        <v>19</v>
      </c>
      <c r="B8">
        <v>65</v>
      </c>
      <c r="C8">
        <v>242</v>
      </c>
      <c r="D8">
        <v>3</v>
      </c>
      <c r="E8">
        <v>1672</v>
      </c>
      <c r="F8">
        <v>2</v>
      </c>
      <c r="G8">
        <v>0</v>
      </c>
      <c r="I8">
        <v>72</v>
      </c>
      <c r="J8">
        <v>23.22</v>
      </c>
      <c r="K8" s="2">
        <v>6.9</v>
      </c>
      <c r="L8">
        <v>20.100000000000001</v>
      </c>
      <c r="N8">
        <f t="shared" si="0"/>
        <v>0.27509881422919691</v>
      </c>
      <c r="O8">
        <f t="shared" si="1"/>
        <v>0.90909090909091395</v>
      </c>
      <c r="Q8">
        <v>1.0000000000000002</v>
      </c>
    </row>
    <row r="9" spans="1:17" x14ac:dyDescent="0.3">
      <c r="A9" t="s">
        <v>20</v>
      </c>
      <c r="B9">
        <v>52</v>
      </c>
      <c r="C9">
        <v>163.1</v>
      </c>
      <c r="D9">
        <v>1</v>
      </c>
      <c r="E9">
        <v>1186</v>
      </c>
      <c r="F9">
        <v>0</v>
      </c>
      <c r="G9">
        <v>0</v>
      </c>
      <c r="I9">
        <v>49</v>
      </c>
      <c r="J9">
        <v>24.2</v>
      </c>
      <c r="K9" s="2">
        <v>7.26</v>
      </c>
      <c r="L9">
        <v>19.899999999999999</v>
      </c>
      <c r="N9">
        <f t="shared" si="0"/>
        <v>9.1699604743065627E-2</v>
      </c>
      <c r="O9">
        <f t="shared" si="1"/>
        <v>0.95652173913043981</v>
      </c>
      <c r="Q9">
        <v>1.0000000000000007</v>
      </c>
    </row>
    <row r="10" spans="1:17" x14ac:dyDescent="0.3">
      <c r="A10" t="s">
        <v>21</v>
      </c>
      <c r="B10">
        <v>23</v>
      </c>
      <c r="C10">
        <v>79.3</v>
      </c>
      <c r="D10">
        <v>1</v>
      </c>
      <c r="E10">
        <v>711</v>
      </c>
      <c r="F10">
        <v>0</v>
      </c>
      <c r="G10">
        <v>0</v>
      </c>
      <c r="I10">
        <v>24</v>
      </c>
      <c r="J10">
        <v>29.62</v>
      </c>
      <c r="K10" s="2">
        <v>8.94</v>
      </c>
      <c r="L10">
        <v>19.8</v>
      </c>
      <c r="N10">
        <f t="shared" si="0"/>
        <v>9.1699604743065627E-2</v>
      </c>
      <c r="O10">
        <f t="shared" si="1"/>
        <v>1.1778656126482276</v>
      </c>
      <c r="Q10">
        <v>0.99999999999999933</v>
      </c>
    </row>
    <row r="11" spans="1:17" x14ac:dyDescent="0.3">
      <c r="A11" t="s">
        <v>22</v>
      </c>
      <c r="B11">
        <v>10</v>
      </c>
      <c r="C11">
        <v>38</v>
      </c>
      <c r="D11">
        <v>2</v>
      </c>
      <c r="E11">
        <v>334</v>
      </c>
      <c r="F11">
        <v>1</v>
      </c>
      <c r="G11">
        <v>0</v>
      </c>
      <c r="I11">
        <v>12</v>
      </c>
      <c r="J11">
        <v>27.83</v>
      </c>
      <c r="K11" s="2">
        <v>8.7799999999999994</v>
      </c>
      <c r="L11">
        <v>19</v>
      </c>
      <c r="N11">
        <f t="shared" si="0"/>
        <v>0.18339920948613125</v>
      </c>
      <c r="O11">
        <f t="shared" si="1"/>
        <v>1.1567852437417716</v>
      </c>
      <c r="Q11">
        <v>0.99999999999999856</v>
      </c>
    </row>
    <row r="12" spans="1:17" x14ac:dyDescent="0.3">
      <c r="A12" t="s">
        <v>23</v>
      </c>
      <c r="B12">
        <v>8</v>
      </c>
      <c r="C12">
        <v>23.1</v>
      </c>
      <c r="D12">
        <v>0</v>
      </c>
      <c r="E12">
        <v>243</v>
      </c>
      <c r="F12">
        <v>0</v>
      </c>
      <c r="G12">
        <v>0</v>
      </c>
      <c r="I12">
        <v>11</v>
      </c>
      <c r="J12">
        <v>22.09</v>
      </c>
      <c r="K12" s="2">
        <v>10.48</v>
      </c>
      <c r="L12">
        <v>12.6</v>
      </c>
      <c r="N12">
        <f t="shared" si="0"/>
        <v>0</v>
      </c>
      <c r="O12">
        <f t="shared" si="1"/>
        <v>1.3807641633728664</v>
      </c>
      <c r="Q12">
        <v>1.0000000000000082</v>
      </c>
    </row>
    <row r="13" spans="1:17" x14ac:dyDescent="0.3">
      <c r="A13" t="s">
        <v>24</v>
      </c>
      <c r="B13">
        <v>20</v>
      </c>
      <c r="C13">
        <v>66.2</v>
      </c>
      <c r="D13">
        <v>1</v>
      </c>
      <c r="E13">
        <v>618</v>
      </c>
      <c r="F13">
        <v>1</v>
      </c>
      <c r="G13">
        <v>0</v>
      </c>
      <c r="I13">
        <v>19</v>
      </c>
      <c r="J13">
        <v>32.520000000000003</v>
      </c>
      <c r="K13" s="2">
        <v>9.31</v>
      </c>
      <c r="L13">
        <v>20.9</v>
      </c>
      <c r="N13">
        <f t="shared" si="0"/>
        <v>9.1699604743065627E-2</v>
      </c>
      <c r="O13">
        <f t="shared" si="1"/>
        <v>1.2266139657444071</v>
      </c>
      <c r="Q13">
        <v>1.0000000000000004</v>
      </c>
    </row>
    <row r="14" spans="1:17" x14ac:dyDescent="0.3">
      <c r="A14" t="s">
        <v>25</v>
      </c>
      <c r="B14">
        <v>25</v>
      </c>
      <c r="C14">
        <v>90</v>
      </c>
      <c r="D14">
        <v>2</v>
      </c>
      <c r="E14">
        <v>747</v>
      </c>
      <c r="F14">
        <v>0</v>
      </c>
      <c r="G14">
        <v>1</v>
      </c>
      <c r="I14">
        <v>31</v>
      </c>
      <c r="J14">
        <v>24.09</v>
      </c>
      <c r="K14" s="2">
        <v>8.3000000000000007</v>
      </c>
      <c r="L14">
        <v>17.399999999999999</v>
      </c>
      <c r="N14">
        <f t="shared" si="0"/>
        <v>0.18339920948613125</v>
      </c>
      <c r="O14">
        <f t="shared" si="1"/>
        <v>1.0935441370224037</v>
      </c>
      <c r="Q14">
        <v>0.99999999999999167</v>
      </c>
    </row>
    <row r="15" spans="1:17" x14ac:dyDescent="0.3">
      <c r="A15" t="s">
        <v>26</v>
      </c>
      <c r="B15">
        <v>80</v>
      </c>
      <c r="C15">
        <v>294</v>
      </c>
      <c r="D15">
        <v>2</v>
      </c>
      <c r="E15">
        <v>2409</v>
      </c>
      <c r="F15">
        <v>2</v>
      </c>
      <c r="G15">
        <v>1</v>
      </c>
      <c r="I15">
        <v>96</v>
      </c>
      <c r="J15">
        <v>25.09</v>
      </c>
      <c r="K15" s="2">
        <v>8.19</v>
      </c>
      <c r="L15">
        <v>18.3</v>
      </c>
      <c r="N15">
        <f t="shared" si="0"/>
        <v>0.18339920948613125</v>
      </c>
      <c r="O15">
        <f t="shared" si="1"/>
        <v>1.0790513833992152</v>
      </c>
      <c r="Q15">
        <v>0.99999999999999956</v>
      </c>
    </row>
    <row r="16" spans="1:17" x14ac:dyDescent="0.3">
      <c r="A16" t="s">
        <v>27</v>
      </c>
      <c r="B16">
        <v>92</v>
      </c>
      <c r="C16">
        <v>238.5</v>
      </c>
      <c r="D16">
        <v>1</v>
      </c>
      <c r="E16">
        <v>1950</v>
      </c>
      <c r="F16">
        <v>3</v>
      </c>
      <c r="G16">
        <v>0</v>
      </c>
      <c r="I16">
        <v>73</v>
      </c>
      <c r="J16">
        <v>26.71</v>
      </c>
      <c r="K16" s="2">
        <v>8.16</v>
      </c>
      <c r="L16">
        <v>19.600000000000001</v>
      </c>
      <c r="N16">
        <f t="shared" si="0"/>
        <v>9.1699604743065627E-2</v>
      </c>
      <c r="O16">
        <f t="shared" si="1"/>
        <v>1.0750988142292548</v>
      </c>
      <c r="Q16">
        <v>1.0000000000000002</v>
      </c>
    </row>
    <row r="17" spans="1:17" x14ac:dyDescent="0.3">
      <c r="A17" t="s">
        <v>28</v>
      </c>
      <c r="B17">
        <v>25</v>
      </c>
      <c r="C17">
        <v>84.2</v>
      </c>
      <c r="D17">
        <v>0</v>
      </c>
      <c r="E17">
        <v>772</v>
      </c>
      <c r="F17">
        <v>1</v>
      </c>
      <c r="G17">
        <v>0</v>
      </c>
      <c r="I17">
        <v>33</v>
      </c>
      <c r="J17">
        <v>23.29</v>
      </c>
      <c r="K17" s="2">
        <v>9.15</v>
      </c>
      <c r="L17">
        <v>15.3</v>
      </c>
      <c r="N17">
        <f t="shared" si="0"/>
        <v>0</v>
      </c>
      <c r="O17">
        <f t="shared" si="1"/>
        <v>1.205533596837951</v>
      </c>
      <c r="Q17">
        <v>0.99999999999999933</v>
      </c>
    </row>
    <row r="18" spans="1:17" x14ac:dyDescent="0.3">
      <c r="A18" t="s">
        <v>29</v>
      </c>
      <c r="B18">
        <v>21</v>
      </c>
      <c r="C18">
        <v>36.299999999999997</v>
      </c>
      <c r="D18">
        <v>0</v>
      </c>
      <c r="E18">
        <v>360</v>
      </c>
      <c r="F18">
        <v>0</v>
      </c>
      <c r="G18">
        <v>0</v>
      </c>
      <c r="I18">
        <v>8</v>
      </c>
      <c r="J18">
        <v>45</v>
      </c>
      <c r="K18" s="2">
        <v>9.86</v>
      </c>
      <c r="L18">
        <v>27.3</v>
      </c>
      <c r="N18">
        <f t="shared" si="0"/>
        <v>0</v>
      </c>
      <c r="O18">
        <f t="shared" si="1"/>
        <v>1.2990777338603494</v>
      </c>
      <c r="Q18">
        <v>1.0000000000000153</v>
      </c>
    </row>
    <row r="19" spans="1:17" x14ac:dyDescent="0.3">
      <c r="A19" t="s">
        <v>30</v>
      </c>
      <c r="B19">
        <v>43</v>
      </c>
      <c r="C19">
        <v>134.30000000000001</v>
      </c>
      <c r="D19">
        <v>1</v>
      </c>
      <c r="E19">
        <v>968</v>
      </c>
      <c r="F19">
        <v>0</v>
      </c>
      <c r="G19">
        <v>0</v>
      </c>
      <c r="I19">
        <v>34</v>
      </c>
      <c r="J19">
        <v>28.47</v>
      </c>
      <c r="K19" s="2">
        <v>7.19</v>
      </c>
      <c r="L19">
        <v>23.7</v>
      </c>
      <c r="N19">
        <f t="shared" si="0"/>
        <v>9.1699604743065627E-2</v>
      </c>
      <c r="O19">
        <f t="shared" si="1"/>
        <v>0.94729907773386546</v>
      </c>
      <c r="Q19">
        <v>0.99999999999999889</v>
      </c>
    </row>
    <row r="20" spans="1:17" x14ac:dyDescent="0.3">
      <c r="A20" t="s">
        <v>31</v>
      </c>
      <c r="B20">
        <v>5</v>
      </c>
      <c r="C20">
        <v>20</v>
      </c>
      <c r="D20">
        <v>0</v>
      </c>
      <c r="E20">
        <v>220</v>
      </c>
      <c r="F20">
        <v>0</v>
      </c>
      <c r="G20">
        <v>0</v>
      </c>
      <c r="I20">
        <v>8</v>
      </c>
      <c r="J20">
        <v>27.5</v>
      </c>
      <c r="K20" s="2">
        <v>11</v>
      </c>
      <c r="L20">
        <v>15</v>
      </c>
      <c r="N20">
        <f t="shared" si="0"/>
        <v>0</v>
      </c>
      <c r="O20">
        <f t="shared" si="1"/>
        <v>1.4492753623188483</v>
      </c>
      <c r="Q20">
        <v>0.99999999999999101</v>
      </c>
    </row>
    <row r="21" spans="1:17" x14ac:dyDescent="0.3">
      <c r="A21" t="s">
        <v>32</v>
      </c>
      <c r="B21">
        <v>14</v>
      </c>
      <c r="C21">
        <v>43.5</v>
      </c>
      <c r="D21">
        <v>0</v>
      </c>
      <c r="E21">
        <v>412</v>
      </c>
      <c r="F21">
        <v>0</v>
      </c>
      <c r="G21">
        <v>0</v>
      </c>
      <c r="I21">
        <v>12</v>
      </c>
      <c r="J21">
        <v>34.33</v>
      </c>
      <c r="K21" s="2">
        <v>9.39</v>
      </c>
      <c r="L21">
        <v>21.9</v>
      </c>
      <c r="N21">
        <f t="shared" si="0"/>
        <v>0</v>
      </c>
      <c r="O21">
        <f t="shared" si="1"/>
        <v>1.2371541501976351</v>
      </c>
      <c r="Q21">
        <v>0.99999999999999389</v>
      </c>
    </row>
    <row r="22" spans="1:17" x14ac:dyDescent="0.3">
      <c r="A22" t="s">
        <v>33</v>
      </c>
      <c r="B22">
        <v>19</v>
      </c>
      <c r="C22">
        <v>68.2</v>
      </c>
      <c r="D22">
        <v>1</v>
      </c>
      <c r="E22">
        <v>554</v>
      </c>
      <c r="F22">
        <v>1</v>
      </c>
      <c r="G22">
        <v>0</v>
      </c>
      <c r="I22">
        <v>15</v>
      </c>
      <c r="J22">
        <v>36.93</v>
      </c>
      <c r="K22" s="2">
        <v>8.1</v>
      </c>
      <c r="L22">
        <v>27.3</v>
      </c>
      <c r="N22">
        <f t="shared" si="0"/>
        <v>9.1699604743065627E-2</v>
      </c>
      <c r="O22">
        <f t="shared" si="1"/>
        <v>1.0671936758893337</v>
      </c>
      <c r="Q22">
        <v>0.99999999999997369</v>
      </c>
    </row>
    <row r="23" spans="1:17" x14ac:dyDescent="0.3">
      <c r="A23" t="s">
        <v>34</v>
      </c>
      <c r="B23">
        <v>9</v>
      </c>
      <c r="C23">
        <v>9.1</v>
      </c>
      <c r="D23">
        <v>0</v>
      </c>
      <c r="E23">
        <v>75</v>
      </c>
      <c r="F23">
        <v>0</v>
      </c>
      <c r="G23">
        <v>0</v>
      </c>
      <c r="I23">
        <v>5</v>
      </c>
      <c r="J23">
        <v>15</v>
      </c>
      <c r="K23" s="2">
        <v>8.18</v>
      </c>
      <c r="L23">
        <v>11</v>
      </c>
      <c r="N23">
        <f t="shared" si="0"/>
        <v>0</v>
      </c>
      <c r="O23">
        <f t="shared" si="1"/>
        <v>1.0777338603425617</v>
      </c>
      <c r="Q23">
        <v>0.99999999999998312</v>
      </c>
    </row>
    <row r="24" spans="1:17" x14ac:dyDescent="0.3">
      <c r="A24" t="s">
        <v>35</v>
      </c>
      <c r="B24">
        <v>6</v>
      </c>
      <c r="C24">
        <v>22</v>
      </c>
      <c r="D24">
        <v>0</v>
      </c>
      <c r="E24">
        <v>167</v>
      </c>
      <c r="F24">
        <v>0</v>
      </c>
      <c r="G24">
        <v>0</v>
      </c>
      <c r="I24">
        <v>7</v>
      </c>
      <c r="J24">
        <v>23.85</v>
      </c>
      <c r="K24" s="2">
        <v>7.59</v>
      </c>
      <c r="L24">
        <v>18.8</v>
      </c>
      <c r="N24">
        <f t="shared" si="0"/>
        <v>0</v>
      </c>
      <c r="O24">
        <f t="shared" si="1"/>
        <v>1.0000000000000053</v>
      </c>
      <c r="Q24">
        <v>1.0000000000000053</v>
      </c>
    </row>
    <row r="26" spans="1:17" x14ac:dyDescent="0.3">
      <c r="A26" t="s">
        <v>36</v>
      </c>
      <c r="B26" s="5">
        <v>0</v>
      </c>
      <c r="C26" s="5">
        <v>0</v>
      </c>
      <c r="D26" s="5">
        <v>9.1699604743065627E-2</v>
      </c>
      <c r="E26" s="5">
        <v>0</v>
      </c>
      <c r="F26" s="5">
        <v>0</v>
      </c>
      <c r="G26" s="5">
        <v>0</v>
      </c>
      <c r="I26" s="6">
        <v>0</v>
      </c>
      <c r="J26" s="6">
        <v>0</v>
      </c>
      <c r="K26" s="7">
        <v>0.13175230566534984</v>
      </c>
      <c r="L26" s="6">
        <v>0</v>
      </c>
    </row>
    <row r="28" spans="1:17" x14ac:dyDescent="0.3">
      <c r="A28" t="s">
        <v>37</v>
      </c>
      <c r="B28">
        <v>23</v>
      </c>
    </row>
    <row r="29" spans="1:17" x14ac:dyDescent="0.3">
      <c r="A29" t="s">
        <v>11</v>
      </c>
      <c r="B29" s="8" cm="1">
        <f t="array" ref="B29">INDEX(N2:N24,B28,0)</f>
        <v>0</v>
      </c>
    </row>
    <row r="30" spans="1:17" x14ac:dyDescent="0.3">
      <c r="A30" t="s">
        <v>12</v>
      </c>
      <c r="B30" s="8" cm="1">
        <f t="array" ref="B30">INDEX(O2:O24,B28,0)</f>
        <v>1.0000000000000053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E9A2F-2204-4FD9-B00B-9AFD7B1993AB}">
  <sheetPr codeName="Sheet4"/>
  <dimension ref="A1:P38"/>
  <sheetViews>
    <sheetView zoomScale="65" workbookViewId="0">
      <selection activeCell="O39" sqref="O39"/>
    </sheetView>
  </sheetViews>
  <sheetFormatPr defaultRowHeight="14.4" x14ac:dyDescent="0.3"/>
  <cols>
    <col min="1" max="1" width="23.109375" customWidth="1"/>
    <col min="10" max="10" width="12.5546875" customWidth="1"/>
    <col min="11" max="11" width="14.109375" customWidth="1"/>
    <col min="12" max="12" width="20.6640625" customWidth="1"/>
    <col min="14" max="14" width="19.88671875" customWidth="1"/>
    <col min="16" max="16" width="17" customWidth="1"/>
  </cols>
  <sheetData>
    <row r="1" spans="1:16" x14ac:dyDescent="0.3">
      <c r="A1" s="1" t="s">
        <v>10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N1" s="1" t="s">
        <v>46</v>
      </c>
      <c r="P1" s="1" t="s">
        <v>47</v>
      </c>
    </row>
    <row r="2" spans="1:16" x14ac:dyDescent="0.3">
      <c r="A2" t="s">
        <v>13</v>
      </c>
      <c r="B2">
        <v>62</v>
      </c>
      <c r="C2">
        <v>221.5</v>
      </c>
      <c r="D2">
        <v>10</v>
      </c>
      <c r="E2">
        <v>1455</v>
      </c>
      <c r="F2">
        <v>0</v>
      </c>
      <c r="G2">
        <v>0</v>
      </c>
      <c r="I2">
        <v>74</v>
      </c>
      <c r="J2">
        <v>19.66</v>
      </c>
      <c r="K2" s="2">
        <v>19.66</v>
      </c>
      <c r="L2">
        <v>17.899999999999999</v>
      </c>
      <c r="N2" s="9">
        <v>1.6880087789332677E-3</v>
      </c>
      <c r="P2">
        <v>1</v>
      </c>
    </row>
    <row r="3" spans="1:16" x14ac:dyDescent="0.3">
      <c r="A3" t="s">
        <v>14</v>
      </c>
      <c r="B3">
        <v>44</v>
      </c>
      <c r="C3">
        <v>149.5</v>
      </c>
      <c r="D3">
        <v>2</v>
      </c>
      <c r="E3">
        <v>1294</v>
      </c>
      <c r="F3">
        <v>1</v>
      </c>
      <c r="G3">
        <v>0</v>
      </c>
      <c r="I3">
        <v>62</v>
      </c>
      <c r="J3">
        <v>20.87</v>
      </c>
      <c r="K3" s="2">
        <v>8.6300000000000008</v>
      </c>
      <c r="L3">
        <v>14.5</v>
      </c>
      <c r="N3" s="9">
        <v>0.13884275534423191</v>
      </c>
      <c r="P3">
        <v>0.99999999999999989</v>
      </c>
    </row>
    <row r="4" spans="1:16" x14ac:dyDescent="0.3">
      <c r="A4" t="s">
        <v>15</v>
      </c>
      <c r="B4">
        <v>35</v>
      </c>
      <c r="C4">
        <v>123.2</v>
      </c>
      <c r="D4">
        <v>2</v>
      </c>
      <c r="E4">
        <v>832</v>
      </c>
      <c r="F4">
        <v>1</v>
      </c>
      <c r="G4">
        <v>2</v>
      </c>
      <c r="I4">
        <v>59</v>
      </c>
      <c r="J4">
        <v>14.1</v>
      </c>
      <c r="K4" s="2">
        <v>6.74</v>
      </c>
      <c r="L4">
        <v>12.5</v>
      </c>
      <c r="N4" s="9">
        <v>0</v>
      </c>
      <c r="P4">
        <v>1.0000000000000009</v>
      </c>
    </row>
    <row r="5" spans="1:16" x14ac:dyDescent="0.3">
      <c r="A5" t="s">
        <v>16</v>
      </c>
      <c r="B5">
        <v>87</v>
      </c>
      <c r="C5">
        <v>298.3</v>
      </c>
      <c r="D5">
        <v>10</v>
      </c>
      <c r="E5">
        <v>2079</v>
      </c>
      <c r="F5">
        <v>3</v>
      </c>
      <c r="G5">
        <v>2</v>
      </c>
      <c r="I5">
        <v>90</v>
      </c>
      <c r="J5">
        <v>23.1</v>
      </c>
      <c r="K5">
        <v>6.96</v>
      </c>
      <c r="L5">
        <v>19.899999999999999</v>
      </c>
      <c r="N5" s="9">
        <v>0</v>
      </c>
      <c r="P5">
        <v>1.0000000000000002</v>
      </c>
    </row>
    <row r="6" spans="1:16" x14ac:dyDescent="0.3">
      <c r="A6" t="s">
        <v>17</v>
      </c>
      <c r="B6">
        <v>24</v>
      </c>
      <c r="C6">
        <v>93.4</v>
      </c>
      <c r="D6">
        <v>0</v>
      </c>
      <c r="E6">
        <v>703</v>
      </c>
      <c r="F6">
        <v>1</v>
      </c>
      <c r="G6">
        <v>0</v>
      </c>
      <c r="I6">
        <v>36</v>
      </c>
      <c r="J6">
        <v>19.52</v>
      </c>
      <c r="K6" s="2">
        <v>7.5</v>
      </c>
      <c r="L6">
        <v>15.6</v>
      </c>
      <c r="N6" s="9">
        <v>0</v>
      </c>
      <c r="P6">
        <v>1</v>
      </c>
    </row>
    <row r="7" spans="1:16" x14ac:dyDescent="0.3">
      <c r="A7" t="s">
        <v>18</v>
      </c>
      <c r="B7">
        <v>66</v>
      </c>
      <c r="C7">
        <v>212</v>
      </c>
      <c r="D7">
        <v>4</v>
      </c>
      <c r="E7">
        <v>1506</v>
      </c>
      <c r="F7">
        <v>0</v>
      </c>
      <c r="G7">
        <v>0</v>
      </c>
      <c r="I7">
        <v>53</v>
      </c>
      <c r="J7">
        <v>28.41</v>
      </c>
      <c r="K7" s="2">
        <v>7.1</v>
      </c>
      <c r="L7">
        <v>24</v>
      </c>
      <c r="N7" s="9">
        <v>0</v>
      </c>
      <c r="P7">
        <v>0.999999999999999</v>
      </c>
    </row>
    <row r="8" spans="1:16" x14ac:dyDescent="0.3">
      <c r="A8" t="s">
        <v>19</v>
      </c>
      <c r="B8">
        <v>65</v>
      </c>
      <c r="C8">
        <v>242</v>
      </c>
      <c r="D8">
        <v>3</v>
      </c>
      <c r="E8">
        <v>1672</v>
      </c>
      <c r="F8">
        <v>2</v>
      </c>
      <c r="G8">
        <v>0</v>
      </c>
      <c r="I8">
        <v>72</v>
      </c>
      <c r="J8">
        <v>23.22</v>
      </c>
      <c r="K8" s="2">
        <v>6.9</v>
      </c>
      <c r="L8">
        <v>20.100000000000001</v>
      </c>
      <c r="N8" s="9">
        <v>0</v>
      </c>
      <c r="P8">
        <v>0.99999999999999956</v>
      </c>
    </row>
    <row r="9" spans="1:16" x14ac:dyDescent="0.3">
      <c r="A9" t="s">
        <v>20</v>
      </c>
      <c r="B9">
        <v>52</v>
      </c>
      <c r="C9">
        <v>163.1</v>
      </c>
      <c r="D9">
        <v>1</v>
      </c>
      <c r="E9">
        <v>1186</v>
      </c>
      <c r="F9">
        <v>0</v>
      </c>
      <c r="G9">
        <v>0</v>
      </c>
      <c r="I9">
        <v>49</v>
      </c>
      <c r="J9">
        <v>24.2</v>
      </c>
      <c r="K9" s="2">
        <v>7.26</v>
      </c>
      <c r="L9">
        <v>19.899999999999999</v>
      </c>
      <c r="N9" s="9">
        <v>0</v>
      </c>
      <c r="P9">
        <v>1.0000000000000107</v>
      </c>
    </row>
    <row r="10" spans="1:16" x14ac:dyDescent="0.3">
      <c r="A10" t="s">
        <v>21</v>
      </c>
      <c r="B10">
        <v>23</v>
      </c>
      <c r="C10">
        <v>79.3</v>
      </c>
      <c r="D10">
        <v>1</v>
      </c>
      <c r="E10">
        <v>711</v>
      </c>
      <c r="F10">
        <v>0</v>
      </c>
      <c r="G10">
        <v>0</v>
      </c>
      <c r="I10">
        <v>24</v>
      </c>
      <c r="J10">
        <v>29.62</v>
      </c>
      <c r="K10" s="2">
        <v>8.94</v>
      </c>
      <c r="L10">
        <v>19.8</v>
      </c>
      <c r="N10" s="9">
        <v>0</v>
      </c>
      <c r="P10">
        <v>1.0000000000000004</v>
      </c>
    </row>
    <row r="11" spans="1:16" x14ac:dyDescent="0.3">
      <c r="A11" t="s">
        <v>22</v>
      </c>
      <c r="B11">
        <v>10</v>
      </c>
      <c r="C11">
        <v>38</v>
      </c>
      <c r="D11">
        <v>2</v>
      </c>
      <c r="E11">
        <v>334</v>
      </c>
      <c r="F11">
        <v>1</v>
      </c>
      <c r="G11">
        <v>0</v>
      </c>
      <c r="I11">
        <v>12</v>
      </c>
      <c r="J11">
        <v>27.83</v>
      </c>
      <c r="K11" s="2">
        <v>8.7799999999999994</v>
      </c>
      <c r="L11">
        <v>19</v>
      </c>
      <c r="N11" s="9">
        <v>0</v>
      </c>
      <c r="P11">
        <v>1.0000000000000009</v>
      </c>
    </row>
    <row r="12" spans="1:16" x14ac:dyDescent="0.3">
      <c r="A12" t="s">
        <v>23</v>
      </c>
      <c r="B12">
        <v>8</v>
      </c>
      <c r="C12">
        <v>23.1</v>
      </c>
      <c r="D12">
        <v>0</v>
      </c>
      <c r="E12">
        <v>243</v>
      </c>
      <c r="F12">
        <v>0</v>
      </c>
      <c r="G12">
        <v>0</v>
      </c>
      <c r="I12">
        <v>11</v>
      </c>
      <c r="J12">
        <v>22.09</v>
      </c>
      <c r="K12" s="2">
        <v>10.48</v>
      </c>
      <c r="L12">
        <v>12.6</v>
      </c>
      <c r="N12" s="9">
        <v>0</v>
      </c>
      <c r="P12">
        <v>0.99999999999999978</v>
      </c>
    </row>
    <row r="13" spans="1:16" x14ac:dyDescent="0.3">
      <c r="A13" t="s">
        <v>24</v>
      </c>
      <c r="B13">
        <v>20</v>
      </c>
      <c r="C13">
        <v>66.2</v>
      </c>
      <c r="D13">
        <v>1</v>
      </c>
      <c r="E13">
        <v>618</v>
      </c>
      <c r="F13">
        <v>1</v>
      </c>
      <c r="G13">
        <v>0</v>
      </c>
      <c r="I13">
        <v>19</v>
      </c>
      <c r="J13">
        <v>32.520000000000003</v>
      </c>
      <c r="K13" s="2">
        <v>9.31</v>
      </c>
      <c r="L13">
        <v>20.9</v>
      </c>
      <c r="N13" s="9">
        <v>0</v>
      </c>
      <c r="P13">
        <v>0.91452472490386061</v>
      </c>
    </row>
    <row r="14" spans="1:16" x14ac:dyDescent="0.3">
      <c r="A14" t="s">
        <v>25</v>
      </c>
      <c r="B14">
        <v>25</v>
      </c>
      <c r="C14">
        <v>90</v>
      </c>
      <c r="D14">
        <v>2</v>
      </c>
      <c r="E14">
        <v>747</v>
      </c>
      <c r="F14">
        <v>0</v>
      </c>
      <c r="G14">
        <v>1</v>
      </c>
      <c r="I14">
        <v>31</v>
      </c>
      <c r="J14">
        <v>24.09</v>
      </c>
      <c r="K14" s="2">
        <v>8.3000000000000007</v>
      </c>
      <c r="L14">
        <v>17.399999999999999</v>
      </c>
      <c r="N14" s="9">
        <v>0</v>
      </c>
      <c r="P14">
        <v>1.0000000000000009</v>
      </c>
    </row>
    <row r="15" spans="1:16" x14ac:dyDescent="0.3">
      <c r="A15" t="s">
        <v>26</v>
      </c>
      <c r="B15">
        <v>80</v>
      </c>
      <c r="C15">
        <v>294</v>
      </c>
      <c r="D15">
        <v>2</v>
      </c>
      <c r="E15">
        <v>2409</v>
      </c>
      <c r="F15">
        <v>2</v>
      </c>
      <c r="G15">
        <v>1</v>
      </c>
      <c r="I15">
        <v>96</v>
      </c>
      <c r="J15">
        <v>25.09</v>
      </c>
      <c r="K15" s="2">
        <v>8.19</v>
      </c>
      <c r="L15">
        <v>18.3</v>
      </c>
      <c r="N15" s="9">
        <v>0</v>
      </c>
      <c r="P15">
        <v>0.99999999999999989</v>
      </c>
    </row>
    <row r="16" spans="1:16" x14ac:dyDescent="0.3">
      <c r="A16" t="s">
        <v>27</v>
      </c>
      <c r="B16">
        <v>92</v>
      </c>
      <c r="C16">
        <v>238.5</v>
      </c>
      <c r="D16">
        <v>1</v>
      </c>
      <c r="E16">
        <v>1950</v>
      </c>
      <c r="F16">
        <v>3</v>
      </c>
      <c r="G16">
        <v>0</v>
      </c>
      <c r="I16">
        <v>73</v>
      </c>
      <c r="J16">
        <v>26.71</v>
      </c>
      <c r="K16" s="2">
        <v>8.16</v>
      </c>
      <c r="L16">
        <v>19.600000000000001</v>
      </c>
      <c r="N16" s="9">
        <v>0</v>
      </c>
      <c r="P16">
        <v>1.0000000000000027</v>
      </c>
    </row>
    <row r="17" spans="1:16" x14ac:dyDescent="0.3">
      <c r="A17" t="s">
        <v>28</v>
      </c>
      <c r="B17">
        <v>25</v>
      </c>
      <c r="C17">
        <v>84.2</v>
      </c>
      <c r="D17">
        <v>0</v>
      </c>
      <c r="E17">
        <v>772</v>
      </c>
      <c r="F17">
        <v>1</v>
      </c>
      <c r="G17">
        <v>0</v>
      </c>
      <c r="I17">
        <v>33</v>
      </c>
      <c r="J17">
        <v>23.29</v>
      </c>
      <c r="K17" s="2">
        <v>9.15</v>
      </c>
      <c r="L17">
        <v>15.3</v>
      </c>
      <c r="N17" s="9">
        <v>0</v>
      </c>
      <c r="P17">
        <v>0.99999999999999989</v>
      </c>
    </row>
    <row r="18" spans="1:16" x14ac:dyDescent="0.3">
      <c r="A18" t="s">
        <v>29</v>
      </c>
      <c r="B18">
        <v>21</v>
      </c>
      <c r="C18">
        <v>36.299999999999997</v>
      </c>
      <c r="D18">
        <v>0</v>
      </c>
      <c r="E18">
        <v>360</v>
      </c>
      <c r="F18">
        <v>0</v>
      </c>
      <c r="G18">
        <v>0</v>
      </c>
      <c r="I18">
        <v>8</v>
      </c>
      <c r="J18">
        <v>45</v>
      </c>
      <c r="K18" s="2">
        <v>9.86</v>
      </c>
      <c r="L18">
        <v>27.3</v>
      </c>
      <c r="N18" s="9">
        <v>9.342163578048155E-3</v>
      </c>
      <c r="P18">
        <v>0.99999999999999989</v>
      </c>
    </row>
    <row r="19" spans="1:16" x14ac:dyDescent="0.3">
      <c r="A19" t="s">
        <v>30</v>
      </c>
      <c r="B19">
        <v>43</v>
      </c>
      <c r="C19">
        <v>134.30000000000001</v>
      </c>
      <c r="D19">
        <v>1</v>
      </c>
      <c r="E19">
        <v>968</v>
      </c>
      <c r="F19">
        <v>0</v>
      </c>
      <c r="G19">
        <v>0</v>
      </c>
      <c r="I19">
        <v>34</v>
      </c>
      <c r="J19">
        <v>28.47</v>
      </c>
      <c r="K19" s="2">
        <v>7.19</v>
      </c>
      <c r="L19">
        <v>23.7</v>
      </c>
      <c r="N19" s="9">
        <v>0</v>
      </c>
      <c r="P19">
        <v>1.000000000000006</v>
      </c>
    </row>
    <row r="20" spans="1:16" x14ac:dyDescent="0.3">
      <c r="A20" t="s">
        <v>31</v>
      </c>
      <c r="B20">
        <v>5</v>
      </c>
      <c r="C20">
        <v>20</v>
      </c>
      <c r="D20">
        <v>0</v>
      </c>
      <c r="E20">
        <v>220</v>
      </c>
      <c r="F20">
        <v>0</v>
      </c>
      <c r="G20">
        <v>0</v>
      </c>
      <c r="I20">
        <v>8</v>
      </c>
      <c r="J20">
        <v>27.5</v>
      </c>
      <c r="K20" s="2">
        <v>11</v>
      </c>
      <c r="L20">
        <v>15</v>
      </c>
      <c r="N20" s="9">
        <v>2.356414298322067E-3</v>
      </c>
      <c r="P20">
        <v>1</v>
      </c>
    </row>
    <row r="21" spans="1:16" x14ac:dyDescent="0.3">
      <c r="A21" t="s">
        <v>32</v>
      </c>
      <c r="B21">
        <v>14</v>
      </c>
      <c r="C21">
        <v>43.5</v>
      </c>
      <c r="D21">
        <v>0</v>
      </c>
      <c r="E21">
        <v>412</v>
      </c>
      <c r="F21">
        <v>0</v>
      </c>
      <c r="G21">
        <v>0</v>
      </c>
      <c r="I21">
        <v>12</v>
      </c>
      <c r="J21">
        <v>34.33</v>
      </c>
      <c r="K21" s="2">
        <v>9.39</v>
      </c>
      <c r="L21">
        <v>21.9</v>
      </c>
      <c r="N21" s="9">
        <v>0.84777065800046592</v>
      </c>
      <c r="P21">
        <v>1.0000000000000033</v>
      </c>
    </row>
    <row r="22" spans="1:16" x14ac:dyDescent="0.3">
      <c r="A22" t="s">
        <v>33</v>
      </c>
      <c r="B22">
        <v>19</v>
      </c>
      <c r="C22">
        <v>68.2</v>
      </c>
      <c r="D22">
        <v>1</v>
      </c>
      <c r="E22">
        <v>554</v>
      </c>
      <c r="F22">
        <v>1</v>
      </c>
      <c r="G22">
        <v>0</v>
      </c>
      <c r="I22">
        <v>15</v>
      </c>
      <c r="J22">
        <v>36.93</v>
      </c>
      <c r="K22" s="2">
        <v>8.1</v>
      </c>
      <c r="L22">
        <v>27.3</v>
      </c>
      <c r="N22" s="9">
        <v>0</v>
      </c>
      <c r="P22">
        <v>1.0000000000000029</v>
      </c>
    </row>
    <row r="23" spans="1:16" x14ac:dyDescent="0.3">
      <c r="A23" t="s">
        <v>34</v>
      </c>
      <c r="B23">
        <v>9</v>
      </c>
      <c r="C23">
        <v>9.1</v>
      </c>
      <c r="D23">
        <v>0</v>
      </c>
      <c r="E23">
        <v>75</v>
      </c>
      <c r="F23">
        <v>0</v>
      </c>
      <c r="G23">
        <v>0</v>
      </c>
      <c r="I23">
        <v>5</v>
      </c>
      <c r="J23">
        <v>15</v>
      </c>
      <c r="K23" s="2">
        <v>8.18</v>
      </c>
      <c r="L23">
        <v>11</v>
      </c>
      <c r="N23" s="9">
        <v>0</v>
      </c>
      <c r="P23">
        <v>1.0000000000000016</v>
      </c>
    </row>
    <row r="24" spans="1:16" x14ac:dyDescent="0.3">
      <c r="A24" t="s">
        <v>35</v>
      </c>
      <c r="B24">
        <v>6</v>
      </c>
      <c r="C24">
        <v>22</v>
      </c>
      <c r="D24">
        <v>0</v>
      </c>
      <c r="E24">
        <v>167</v>
      </c>
      <c r="F24">
        <v>0</v>
      </c>
      <c r="G24">
        <v>0</v>
      </c>
      <c r="I24">
        <v>7</v>
      </c>
      <c r="J24">
        <v>23.85</v>
      </c>
      <c r="K24" s="2">
        <v>7.59</v>
      </c>
      <c r="L24">
        <v>18.8</v>
      </c>
      <c r="N24" s="9">
        <v>0</v>
      </c>
      <c r="P24">
        <v>1</v>
      </c>
    </row>
    <row r="25" spans="1:16" x14ac:dyDescent="0.3">
      <c r="N25" s="9"/>
    </row>
    <row r="26" spans="1:16" x14ac:dyDescent="0.3">
      <c r="A26" t="s">
        <v>48</v>
      </c>
      <c r="N26" s="14">
        <f>SUM(N2:N24)</f>
        <v>1.0000000000000013</v>
      </c>
    </row>
    <row r="27" spans="1:16" x14ac:dyDescent="0.3">
      <c r="A27" t="s">
        <v>49</v>
      </c>
      <c r="B27" s="5">
        <v>12</v>
      </c>
      <c r="K27" t="s">
        <v>54</v>
      </c>
    </row>
    <row r="28" spans="1:16" x14ac:dyDescent="0.3">
      <c r="A28" s="10" t="s">
        <v>50</v>
      </c>
      <c r="K28" t="s">
        <v>55</v>
      </c>
    </row>
    <row r="29" spans="1:16" x14ac:dyDescent="0.3">
      <c r="A29" s="11" t="s">
        <v>0</v>
      </c>
      <c r="B29" s="11">
        <f>SUMPRODUCT($N$2:$N$24,B2:B24)</f>
        <v>18.290494498077209</v>
      </c>
      <c r="C29" t="s">
        <v>52</v>
      </c>
      <c r="D29" s="5" cm="1">
        <f t="array" ref="D29">K29*INDEX(B2:B24,B27,1)</f>
        <v>18.290494498077212</v>
      </c>
      <c r="K29" s="13">
        <v>0.91452472490386061</v>
      </c>
    </row>
    <row r="30" spans="1:16" x14ac:dyDescent="0.3">
      <c r="A30" s="11" t="s">
        <v>1</v>
      </c>
      <c r="B30" s="11">
        <f>SUMPRODUCT($N$2:$N$24,C2:C24)</f>
        <v>58.395158315366245</v>
      </c>
      <c r="C30" t="s">
        <v>52</v>
      </c>
      <c r="D30" s="5" cm="1">
        <f t="array" ref="D30">K29*INDEX(C2:C24,B27,1)</f>
        <v>60.541536788635575</v>
      </c>
    </row>
    <row r="31" spans="1:16" x14ac:dyDescent="0.3">
      <c r="A31" s="11" t="s">
        <v>2</v>
      </c>
      <c r="B31" s="11">
        <f>SUMPRODUCT($N$2:$N$24,D2:D24)</f>
        <v>0.29456559847779651</v>
      </c>
      <c r="C31" t="s">
        <v>52</v>
      </c>
      <c r="D31" s="5" cm="1">
        <f t="array" ref="D31">K29*INDEX(D2:D24,B27,1)</f>
        <v>0.91452472490386061</v>
      </c>
    </row>
    <row r="32" spans="1:16" x14ac:dyDescent="0.3">
      <c r="A32" s="11" t="s">
        <v>3</v>
      </c>
      <c r="B32" s="11">
        <f>SUMPRODUCT($N$2:$N$24,E2:E24)</f>
        <v>535.28167931870416</v>
      </c>
      <c r="C32" t="s">
        <v>52</v>
      </c>
      <c r="D32" s="5" cm="1">
        <f t="array" ref="D32">K29*INDEX(E2:E24,B27,1)</f>
        <v>565.17627999058584</v>
      </c>
    </row>
    <row r="33" spans="1:4" x14ac:dyDescent="0.3">
      <c r="A33" s="11" t="s">
        <v>4</v>
      </c>
      <c r="B33" s="11">
        <f>SUMPRODUCT($N$2:$N$24,F2:F24)</f>
        <v>0.13884275534423191</v>
      </c>
      <c r="C33" t="s">
        <v>52</v>
      </c>
      <c r="D33" s="5" cm="1">
        <f t="array" ref="D33">K29*INDEX(F2:F24,B27,1)</f>
        <v>0.91452472490386061</v>
      </c>
    </row>
    <row r="34" spans="1:4" x14ac:dyDescent="0.3">
      <c r="A34" s="11" t="s">
        <v>5</v>
      </c>
      <c r="B34" s="11">
        <f>SUMPRODUCT($N$2:$N$24,G2:G24)</f>
        <v>0</v>
      </c>
      <c r="C34" t="s">
        <v>52</v>
      </c>
      <c r="D34" s="5" cm="1">
        <f t="array" ref="D34">K29*INDEX(G2:G24,B27,1)</f>
        <v>0</v>
      </c>
    </row>
    <row r="35" spans="1:4" x14ac:dyDescent="0.3">
      <c r="A35" s="12" t="s">
        <v>6</v>
      </c>
      <c r="B35" s="12">
        <f>SUMPRODUCT($N$2:$N$24,I2:I24)</f>
        <v>18.999999999999993</v>
      </c>
      <c r="C35" t="s">
        <v>53</v>
      </c>
      <c r="D35" s="5" cm="1">
        <f t="array" ref="D35">INDEX(I2:I24,B27,1)</f>
        <v>19</v>
      </c>
    </row>
    <row r="36" spans="1:4" x14ac:dyDescent="0.3">
      <c r="A36" s="12" t="s">
        <v>7</v>
      </c>
      <c r="B36" s="12">
        <f>SUMPRODUCT($N$2:$N$24,J2:J24)</f>
        <v>32.519999999999968</v>
      </c>
      <c r="C36" t="s">
        <v>53</v>
      </c>
      <c r="D36" s="5" cm="1">
        <f t="array" ref="D36">INDEX(J2:J24,B27,1)</f>
        <v>32.520000000000003</v>
      </c>
    </row>
    <row r="37" spans="1:4" x14ac:dyDescent="0.3">
      <c r="A37" s="12" t="s">
        <v>51</v>
      </c>
      <c r="B37" s="12">
        <f>SUMPRODUCT($N$2:$N$24,K2:K24)</f>
        <v>9.3100000000000218</v>
      </c>
      <c r="C37" t="s">
        <v>53</v>
      </c>
      <c r="D37" s="5" cm="1">
        <f t="array" ref="D37">INDEX(K2:K24,B27,1)</f>
        <v>9.31</v>
      </c>
    </row>
    <row r="38" spans="1:4" x14ac:dyDescent="0.3">
      <c r="A38" s="12" t="s">
        <v>9</v>
      </c>
      <c r="B38" s="12">
        <f>SUMPRODUCT($N$2:$N$24,L2:L24)</f>
        <v>20.900000000000016</v>
      </c>
      <c r="C38" t="s">
        <v>53</v>
      </c>
      <c r="D38" s="5" cm="1">
        <f t="array" ref="D38">INDEX(L2:L24,B27,1)</f>
        <v>20.9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16E7-0E64-4981-B193-105A8FA39188}">
  <sheetPr codeName="Sheet5"/>
  <dimension ref="A1:P38"/>
  <sheetViews>
    <sheetView zoomScale="69" workbookViewId="0">
      <selection activeCell="P32" sqref="P32"/>
    </sheetView>
  </sheetViews>
  <sheetFormatPr defaultRowHeight="14.4" x14ac:dyDescent="0.3"/>
  <cols>
    <col min="1" max="1" width="23.109375" customWidth="1"/>
    <col min="10" max="10" width="12.5546875" customWidth="1"/>
    <col min="11" max="11" width="14.109375" customWidth="1"/>
    <col min="12" max="12" width="20.6640625" customWidth="1"/>
    <col min="14" max="14" width="19.88671875" customWidth="1"/>
    <col min="16" max="16" width="17" customWidth="1"/>
  </cols>
  <sheetData>
    <row r="1" spans="1:16" x14ac:dyDescent="0.3">
      <c r="A1" s="1" t="s">
        <v>10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N1" s="1" t="s">
        <v>46</v>
      </c>
      <c r="P1" s="1" t="s">
        <v>47</v>
      </c>
    </row>
    <row r="2" spans="1:16" x14ac:dyDescent="0.3">
      <c r="A2" t="s">
        <v>13</v>
      </c>
      <c r="B2">
        <v>62</v>
      </c>
      <c r="C2">
        <v>221.5</v>
      </c>
      <c r="D2">
        <v>10</v>
      </c>
      <c r="E2">
        <v>1455</v>
      </c>
      <c r="F2">
        <v>0</v>
      </c>
      <c r="G2">
        <v>0</v>
      </c>
      <c r="I2">
        <v>74</v>
      </c>
      <c r="J2">
        <v>19.66</v>
      </c>
      <c r="K2" s="2">
        <v>19.66</v>
      </c>
      <c r="L2">
        <v>17.899999999999999</v>
      </c>
      <c r="N2" s="9">
        <v>2.5718275636621206E-2</v>
      </c>
      <c r="P2">
        <v>1.0000000000000007</v>
      </c>
    </row>
    <row r="3" spans="1:16" x14ac:dyDescent="0.3">
      <c r="A3" t="s">
        <v>14</v>
      </c>
      <c r="B3">
        <v>44</v>
      </c>
      <c r="C3">
        <v>149.5</v>
      </c>
      <c r="D3">
        <v>2</v>
      </c>
      <c r="E3">
        <v>1294</v>
      </c>
      <c r="F3">
        <v>1</v>
      </c>
      <c r="G3">
        <v>0</v>
      </c>
      <c r="I3">
        <v>62</v>
      </c>
      <c r="J3">
        <v>20.87</v>
      </c>
      <c r="K3" s="2">
        <v>8.6300000000000008</v>
      </c>
      <c r="L3">
        <v>14.5</v>
      </c>
      <c r="N3" s="9">
        <v>0.12897059238626452</v>
      </c>
      <c r="P3">
        <v>0.99999999999999922</v>
      </c>
    </row>
    <row r="4" spans="1:16" x14ac:dyDescent="0.3">
      <c r="A4" t="s">
        <v>15</v>
      </c>
      <c r="B4">
        <v>35</v>
      </c>
      <c r="C4">
        <v>123.2</v>
      </c>
      <c r="D4">
        <v>2</v>
      </c>
      <c r="E4">
        <v>832</v>
      </c>
      <c r="F4">
        <v>1</v>
      </c>
      <c r="G4">
        <v>2</v>
      </c>
      <c r="I4">
        <v>59</v>
      </c>
      <c r="J4">
        <v>14.1</v>
      </c>
      <c r="K4" s="2">
        <v>6.74</v>
      </c>
      <c r="L4">
        <v>12.5</v>
      </c>
      <c r="N4" s="9">
        <v>0</v>
      </c>
      <c r="P4">
        <v>0.99999999999999967</v>
      </c>
    </row>
    <row r="5" spans="1:16" x14ac:dyDescent="0.3">
      <c r="A5" t="s">
        <v>16</v>
      </c>
      <c r="B5">
        <v>87</v>
      </c>
      <c r="C5">
        <v>298.3</v>
      </c>
      <c r="D5">
        <v>10</v>
      </c>
      <c r="E5">
        <v>2079</v>
      </c>
      <c r="F5">
        <v>3</v>
      </c>
      <c r="G5">
        <v>2</v>
      </c>
      <c r="I5">
        <v>90</v>
      </c>
      <c r="J5">
        <v>23.1</v>
      </c>
      <c r="K5">
        <v>6.96</v>
      </c>
      <c r="L5">
        <v>19.899999999999999</v>
      </c>
      <c r="N5" s="9">
        <v>0</v>
      </c>
      <c r="P5">
        <v>0.99999999999999922</v>
      </c>
    </row>
    <row r="6" spans="1:16" x14ac:dyDescent="0.3">
      <c r="A6" t="s">
        <v>17</v>
      </c>
      <c r="B6">
        <v>24</v>
      </c>
      <c r="C6">
        <v>93.4</v>
      </c>
      <c r="D6">
        <v>0</v>
      </c>
      <c r="E6">
        <v>703</v>
      </c>
      <c r="F6">
        <v>1</v>
      </c>
      <c r="G6">
        <v>0</v>
      </c>
      <c r="I6">
        <v>36</v>
      </c>
      <c r="J6">
        <v>19.52</v>
      </c>
      <c r="K6" s="2">
        <v>7.5</v>
      </c>
      <c r="L6">
        <v>15.6</v>
      </c>
      <c r="N6" s="9">
        <v>0</v>
      </c>
      <c r="P6">
        <v>0.99999999999999767</v>
      </c>
    </row>
    <row r="7" spans="1:16" x14ac:dyDescent="0.3">
      <c r="A7" t="s">
        <v>18</v>
      </c>
      <c r="B7">
        <v>66</v>
      </c>
      <c r="C7">
        <v>212</v>
      </c>
      <c r="D7">
        <v>4</v>
      </c>
      <c r="E7">
        <v>1506</v>
      </c>
      <c r="F7">
        <v>0</v>
      </c>
      <c r="G7">
        <v>0</v>
      </c>
      <c r="I7">
        <v>53</v>
      </c>
      <c r="J7">
        <v>28.41</v>
      </c>
      <c r="K7" s="2">
        <v>7.1</v>
      </c>
      <c r="L7">
        <v>24</v>
      </c>
      <c r="N7" s="9">
        <v>0</v>
      </c>
      <c r="P7">
        <v>1.0000000000000002</v>
      </c>
    </row>
    <row r="8" spans="1:16" x14ac:dyDescent="0.3">
      <c r="A8" t="s">
        <v>19</v>
      </c>
      <c r="B8">
        <v>65</v>
      </c>
      <c r="C8">
        <v>242</v>
      </c>
      <c r="D8">
        <v>3</v>
      </c>
      <c r="E8">
        <v>1672</v>
      </c>
      <c r="F8">
        <v>2</v>
      </c>
      <c r="G8">
        <v>0</v>
      </c>
      <c r="I8">
        <v>72</v>
      </c>
      <c r="J8">
        <v>23.22</v>
      </c>
      <c r="K8" s="2">
        <v>6.9</v>
      </c>
      <c r="L8">
        <v>20.100000000000001</v>
      </c>
      <c r="N8" s="9">
        <v>0</v>
      </c>
      <c r="P8">
        <v>0.99999999999999922</v>
      </c>
    </row>
    <row r="9" spans="1:16" x14ac:dyDescent="0.3">
      <c r="A9" t="s">
        <v>20</v>
      </c>
      <c r="B9">
        <v>52</v>
      </c>
      <c r="C9">
        <v>163.1</v>
      </c>
      <c r="D9">
        <v>1</v>
      </c>
      <c r="E9">
        <v>1186</v>
      </c>
      <c r="F9">
        <v>0</v>
      </c>
      <c r="G9">
        <v>0</v>
      </c>
      <c r="I9">
        <v>49</v>
      </c>
      <c r="J9">
        <v>24.2</v>
      </c>
      <c r="K9" s="2">
        <v>7.26</v>
      </c>
      <c r="L9">
        <v>19.899999999999999</v>
      </c>
      <c r="N9" s="9">
        <v>0</v>
      </c>
      <c r="P9">
        <v>0.99999999999999623</v>
      </c>
    </row>
    <row r="10" spans="1:16" x14ac:dyDescent="0.3">
      <c r="A10" t="s">
        <v>21</v>
      </c>
      <c r="B10">
        <v>23</v>
      </c>
      <c r="C10">
        <v>79.3</v>
      </c>
      <c r="D10">
        <v>1</v>
      </c>
      <c r="E10">
        <v>711</v>
      </c>
      <c r="F10">
        <v>0</v>
      </c>
      <c r="G10">
        <v>0</v>
      </c>
      <c r="I10">
        <v>24</v>
      </c>
      <c r="J10">
        <v>29.62</v>
      </c>
      <c r="K10" s="2">
        <v>8.94</v>
      </c>
      <c r="L10">
        <v>19.8</v>
      </c>
      <c r="N10" s="9">
        <v>0</v>
      </c>
      <c r="P10">
        <v>1.0000000000000004</v>
      </c>
    </row>
    <row r="11" spans="1:16" x14ac:dyDescent="0.3">
      <c r="A11" t="s">
        <v>22</v>
      </c>
      <c r="B11">
        <v>10</v>
      </c>
      <c r="C11">
        <v>38</v>
      </c>
      <c r="D11">
        <v>2</v>
      </c>
      <c r="E11">
        <v>334</v>
      </c>
      <c r="F11">
        <v>1</v>
      </c>
      <c r="G11">
        <v>0</v>
      </c>
      <c r="I11">
        <v>12</v>
      </c>
      <c r="J11">
        <v>27.83</v>
      </c>
      <c r="K11" s="2">
        <v>8.7799999999999994</v>
      </c>
      <c r="L11">
        <v>19</v>
      </c>
      <c r="N11" s="9">
        <v>0</v>
      </c>
      <c r="P11">
        <v>1</v>
      </c>
    </row>
    <row r="12" spans="1:16" x14ac:dyDescent="0.3">
      <c r="A12" t="s">
        <v>23</v>
      </c>
      <c r="B12">
        <v>8</v>
      </c>
      <c r="C12">
        <v>23.1</v>
      </c>
      <c r="D12">
        <v>0</v>
      </c>
      <c r="E12">
        <v>243</v>
      </c>
      <c r="F12">
        <v>0</v>
      </c>
      <c r="G12">
        <v>0</v>
      </c>
      <c r="I12">
        <v>11</v>
      </c>
      <c r="J12">
        <v>22.09</v>
      </c>
      <c r="K12" s="2">
        <v>10.48</v>
      </c>
      <c r="L12">
        <v>12.6</v>
      </c>
      <c r="N12" s="9">
        <v>0</v>
      </c>
      <c r="P12">
        <v>0.99999999999999889</v>
      </c>
    </row>
    <row r="13" spans="1:16" x14ac:dyDescent="0.3">
      <c r="A13" t="s">
        <v>24</v>
      </c>
      <c r="B13">
        <v>20</v>
      </c>
      <c r="C13">
        <v>66.2</v>
      </c>
      <c r="D13">
        <v>1</v>
      </c>
      <c r="E13">
        <v>618</v>
      </c>
      <c r="F13">
        <v>1</v>
      </c>
      <c r="G13">
        <v>0</v>
      </c>
      <c r="I13">
        <v>19</v>
      </c>
      <c r="J13">
        <v>32.520000000000003</v>
      </c>
      <c r="K13" s="2">
        <v>9.31</v>
      </c>
      <c r="L13">
        <v>20.9</v>
      </c>
      <c r="N13" s="9">
        <v>0</v>
      </c>
      <c r="P13">
        <v>1.0311056570962509</v>
      </c>
    </row>
    <row r="14" spans="1:16" x14ac:dyDescent="0.3">
      <c r="A14" t="s">
        <v>25</v>
      </c>
      <c r="B14">
        <v>25</v>
      </c>
      <c r="C14">
        <v>90</v>
      </c>
      <c r="D14">
        <v>2</v>
      </c>
      <c r="E14">
        <v>747</v>
      </c>
      <c r="F14">
        <v>0</v>
      </c>
      <c r="G14">
        <v>1</v>
      </c>
      <c r="I14">
        <v>31</v>
      </c>
      <c r="J14">
        <v>24.09</v>
      </c>
      <c r="K14" s="2">
        <v>8.3000000000000007</v>
      </c>
      <c r="L14">
        <v>17.399999999999999</v>
      </c>
      <c r="N14" s="9">
        <v>0</v>
      </c>
      <c r="P14">
        <v>0.999999999999999</v>
      </c>
    </row>
    <row r="15" spans="1:16" x14ac:dyDescent="0.3">
      <c r="A15" t="s">
        <v>26</v>
      </c>
      <c r="B15">
        <v>80</v>
      </c>
      <c r="C15">
        <v>294</v>
      </c>
      <c r="D15">
        <v>2</v>
      </c>
      <c r="E15">
        <v>2409</v>
      </c>
      <c r="F15">
        <v>2</v>
      </c>
      <c r="G15">
        <v>1</v>
      </c>
      <c r="I15">
        <v>96</v>
      </c>
      <c r="J15">
        <v>25.09</v>
      </c>
      <c r="K15" s="2">
        <v>8.19</v>
      </c>
      <c r="L15">
        <v>18.3</v>
      </c>
      <c r="N15" s="9">
        <v>0</v>
      </c>
      <c r="P15">
        <v>0.99999999999999911</v>
      </c>
    </row>
    <row r="16" spans="1:16" x14ac:dyDescent="0.3">
      <c r="A16" t="s">
        <v>27</v>
      </c>
      <c r="B16">
        <v>92</v>
      </c>
      <c r="C16">
        <v>238.5</v>
      </c>
      <c r="D16">
        <v>1</v>
      </c>
      <c r="E16">
        <v>1950</v>
      </c>
      <c r="F16">
        <v>3</v>
      </c>
      <c r="G16">
        <v>0</v>
      </c>
      <c r="I16">
        <v>73</v>
      </c>
      <c r="J16">
        <v>26.71</v>
      </c>
      <c r="K16" s="2">
        <v>8.16</v>
      </c>
      <c r="L16">
        <v>19.600000000000001</v>
      </c>
      <c r="N16" s="9">
        <v>0</v>
      </c>
      <c r="P16">
        <v>0.99999999999999911</v>
      </c>
    </row>
    <row r="17" spans="1:16" x14ac:dyDescent="0.3">
      <c r="A17" t="s">
        <v>28</v>
      </c>
      <c r="B17">
        <v>25</v>
      </c>
      <c r="C17">
        <v>84.2</v>
      </c>
      <c r="D17">
        <v>0</v>
      </c>
      <c r="E17">
        <v>772</v>
      </c>
      <c r="F17">
        <v>1</v>
      </c>
      <c r="G17">
        <v>0</v>
      </c>
      <c r="I17">
        <v>33</v>
      </c>
      <c r="J17">
        <v>23.29</v>
      </c>
      <c r="K17" s="2">
        <v>9.15</v>
      </c>
      <c r="L17">
        <v>15.3</v>
      </c>
      <c r="N17" s="9">
        <v>0</v>
      </c>
      <c r="P17">
        <v>0.99999999999999978</v>
      </c>
    </row>
    <row r="18" spans="1:16" x14ac:dyDescent="0.3">
      <c r="A18" t="s">
        <v>29</v>
      </c>
      <c r="B18">
        <v>21</v>
      </c>
      <c r="C18">
        <v>36.299999999999997</v>
      </c>
      <c r="D18">
        <v>0</v>
      </c>
      <c r="E18">
        <v>360</v>
      </c>
      <c r="F18">
        <v>0</v>
      </c>
      <c r="G18">
        <v>0</v>
      </c>
      <c r="I18">
        <v>8</v>
      </c>
      <c r="J18">
        <v>45</v>
      </c>
      <c r="K18" s="2">
        <v>9.86</v>
      </c>
      <c r="L18">
        <v>27.3</v>
      </c>
      <c r="N18" s="9">
        <v>0.12071929544725463</v>
      </c>
      <c r="P18">
        <v>0.99999999999999545</v>
      </c>
    </row>
    <row r="19" spans="1:16" x14ac:dyDescent="0.3">
      <c r="A19" t="s">
        <v>30</v>
      </c>
      <c r="B19">
        <v>43</v>
      </c>
      <c r="C19">
        <v>134.30000000000001</v>
      </c>
      <c r="D19">
        <v>1</v>
      </c>
      <c r="E19">
        <v>968</v>
      </c>
      <c r="F19">
        <v>0</v>
      </c>
      <c r="G19">
        <v>0</v>
      </c>
      <c r="I19">
        <v>34</v>
      </c>
      <c r="J19">
        <v>28.47</v>
      </c>
      <c r="K19" s="2">
        <v>7.19</v>
      </c>
      <c r="L19">
        <v>23.7</v>
      </c>
      <c r="N19" s="9">
        <v>0</v>
      </c>
      <c r="P19">
        <v>0.99999999999999967</v>
      </c>
    </row>
    <row r="20" spans="1:16" x14ac:dyDescent="0.3">
      <c r="A20" t="s">
        <v>31</v>
      </c>
      <c r="B20">
        <v>5</v>
      </c>
      <c r="C20">
        <v>20</v>
      </c>
      <c r="D20">
        <v>0</v>
      </c>
      <c r="E20">
        <v>220</v>
      </c>
      <c r="F20">
        <v>0</v>
      </c>
      <c r="G20">
        <v>0</v>
      </c>
      <c r="I20">
        <v>8</v>
      </c>
      <c r="J20">
        <v>27.5</v>
      </c>
      <c r="K20" s="2">
        <v>11</v>
      </c>
      <c r="L20">
        <v>15</v>
      </c>
      <c r="N20" s="9">
        <v>0</v>
      </c>
      <c r="P20">
        <v>1</v>
      </c>
    </row>
    <row r="21" spans="1:16" x14ac:dyDescent="0.3">
      <c r="A21" t="s">
        <v>32</v>
      </c>
      <c r="B21">
        <v>14</v>
      </c>
      <c r="C21">
        <v>43.5</v>
      </c>
      <c r="D21">
        <v>0</v>
      </c>
      <c r="E21">
        <v>412</v>
      </c>
      <c r="F21">
        <v>0</v>
      </c>
      <c r="G21">
        <v>0</v>
      </c>
      <c r="I21">
        <v>12</v>
      </c>
      <c r="J21">
        <v>34.33</v>
      </c>
      <c r="K21" s="2">
        <v>9.39</v>
      </c>
      <c r="L21">
        <v>21.9</v>
      </c>
      <c r="N21" s="9">
        <v>0.71431785058517683</v>
      </c>
      <c r="P21">
        <v>1</v>
      </c>
    </row>
    <row r="22" spans="1:16" x14ac:dyDescent="0.3">
      <c r="A22" t="s">
        <v>33</v>
      </c>
      <c r="B22">
        <v>19</v>
      </c>
      <c r="C22">
        <v>68.2</v>
      </c>
      <c r="D22">
        <v>1</v>
      </c>
      <c r="E22">
        <v>554</v>
      </c>
      <c r="F22">
        <v>1</v>
      </c>
      <c r="G22">
        <v>0</v>
      </c>
      <c r="I22">
        <v>15</v>
      </c>
      <c r="J22">
        <v>36.93</v>
      </c>
      <c r="K22" s="2">
        <v>8.1</v>
      </c>
      <c r="L22">
        <v>27.3</v>
      </c>
      <c r="N22" s="9">
        <v>1.0273985944683317E-2</v>
      </c>
      <c r="P22">
        <v>0.99999999999999978</v>
      </c>
    </row>
    <row r="23" spans="1:16" x14ac:dyDescent="0.3">
      <c r="A23" t="s">
        <v>34</v>
      </c>
      <c r="B23">
        <v>9</v>
      </c>
      <c r="C23">
        <v>9.1</v>
      </c>
      <c r="D23">
        <v>0</v>
      </c>
      <c r="E23">
        <v>75</v>
      </c>
      <c r="F23">
        <v>0</v>
      </c>
      <c r="G23">
        <v>0</v>
      </c>
      <c r="I23">
        <v>5</v>
      </c>
      <c r="J23">
        <v>15</v>
      </c>
      <c r="K23" s="2">
        <v>8.18</v>
      </c>
      <c r="L23">
        <v>11</v>
      </c>
      <c r="N23" s="9">
        <v>0</v>
      </c>
      <c r="P23">
        <v>0.99999999999999989</v>
      </c>
    </row>
    <row r="24" spans="1:16" x14ac:dyDescent="0.3">
      <c r="A24" t="s">
        <v>35</v>
      </c>
      <c r="B24">
        <v>6</v>
      </c>
      <c r="C24">
        <v>22</v>
      </c>
      <c r="D24">
        <v>0</v>
      </c>
      <c r="E24">
        <v>167</v>
      </c>
      <c r="F24">
        <v>0</v>
      </c>
      <c r="G24">
        <v>0</v>
      </c>
      <c r="I24">
        <v>7</v>
      </c>
      <c r="J24">
        <v>23.85</v>
      </c>
      <c r="K24" s="2">
        <v>7.59</v>
      </c>
      <c r="L24">
        <v>18.8</v>
      </c>
      <c r="N24" s="9">
        <v>0</v>
      </c>
      <c r="P24">
        <v>1</v>
      </c>
    </row>
    <row r="25" spans="1:16" x14ac:dyDescent="0.3">
      <c r="N25" s="9"/>
    </row>
    <row r="26" spans="1:16" x14ac:dyDescent="0.3">
      <c r="A26" t="s">
        <v>48</v>
      </c>
      <c r="N26" s="14">
        <f>SUM(N2:N24)</f>
        <v>1.0000000000000004</v>
      </c>
    </row>
    <row r="27" spans="1:16" x14ac:dyDescent="0.3">
      <c r="A27" t="s">
        <v>49</v>
      </c>
      <c r="B27" s="5">
        <v>12</v>
      </c>
      <c r="K27" t="s">
        <v>54</v>
      </c>
    </row>
    <row r="28" spans="1:16" x14ac:dyDescent="0.3">
      <c r="A28" s="10" t="s">
        <v>50</v>
      </c>
      <c r="K28" t="s">
        <v>55</v>
      </c>
    </row>
    <row r="29" spans="1:16" x14ac:dyDescent="0.3">
      <c r="A29" s="11" t="s">
        <v>0</v>
      </c>
      <c r="B29" s="11">
        <f>SUMPRODUCT($N$2:$N$24,B2:B24)</f>
        <v>19.999999999999961</v>
      </c>
      <c r="C29" t="s">
        <v>52</v>
      </c>
      <c r="D29" s="5" cm="1">
        <f t="array" ref="D29">INDEX(B2:B24,B27,1)</f>
        <v>20</v>
      </c>
      <c r="K29" s="13">
        <v>1.0311056570962509</v>
      </c>
    </row>
    <row r="30" spans="1:16" x14ac:dyDescent="0.3">
      <c r="A30" s="11" t="s">
        <v>1</v>
      </c>
      <c r="B30" s="11">
        <f>SUMPRODUCT($N$2:$N$24,C2:C24)</f>
        <v>61.133324381876079</v>
      </c>
      <c r="C30" t="s">
        <v>52</v>
      </c>
      <c r="D30" s="5" cm="1">
        <f t="array" ref="D30">INDEX(C2:C24,B27,1)</f>
        <v>66.2</v>
      </c>
    </row>
    <row r="31" spans="1:16" x14ac:dyDescent="0.3">
      <c r="A31" s="11" t="s">
        <v>2</v>
      </c>
      <c r="B31" s="11">
        <f>SUMPRODUCT($N$2:$N$24,D2:D24)</f>
        <v>0.52539792708342448</v>
      </c>
      <c r="C31" t="s">
        <v>52</v>
      </c>
      <c r="D31" s="5" cm="1">
        <f t="array" ref="D31">INDEX(D2:D24,B27,1)</f>
        <v>1</v>
      </c>
    </row>
    <row r="32" spans="1:16" x14ac:dyDescent="0.3">
      <c r="A32" s="11" t="s">
        <v>3</v>
      </c>
      <c r="B32" s="11">
        <f>SUMPRODUCT($N$2:$N$24,E2:E24)</f>
        <v>547.75772661456926</v>
      </c>
      <c r="C32" t="s">
        <v>52</v>
      </c>
      <c r="D32" s="5" cm="1">
        <f t="array" ref="D32">INDEX(E2:E24,B27,1)</f>
        <v>618</v>
      </c>
    </row>
    <row r="33" spans="1:4" x14ac:dyDescent="0.3">
      <c r="A33" s="11" t="s">
        <v>4</v>
      </c>
      <c r="B33" s="11">
        <f>SUMPRODUCT($N$2:$N$24,F2:F24)</f>
        <v>0.13924457833094783</v>
      </c>
      <c r="C33" t="s">
        <v>52</v>
      </c>
      <c r="D33" s="5" cm="1">
        <f t="array" ref="D33">INDEX(F2:F24,B27,1)</f>
        <v>1</v>
      </c>
    </row>
    <row r="34" spans="1:4" x14ac:dyDescent="0.3">
      <c r="A34" s="11" t="s">
        <v>5</v>
      </c>
      <c r="B34" s="11">
        <f>SUMPRODUCT($N$2:$N$24,G2:G24)</f>
        <v>0</v>
      </c>
      <c r="C34" t="s">
        <v>52</v>
      </c>
      <c r="D34" s="5" cm="1">
        <f t="array" ref="D34">INDEX(G2:G24,B27,1)</f>
        <v>0</v>
      </c>
    </row>
    <row r="35" spans="1:4" x14ac:dyDescent="0.3">
      <c r="A35" s="12" t="s">
        <v>6</v>
      </c>
      <c r="B35" s="12">
        <f>SUMPRODUCT($N$2:$N$24,I2:I24)</f>
        <v>19.591007484828779</v>
      </c>
      <c r="C35" t="s">
        <v>53</v>
      </c>
      <c r="D35" s="5" cm="1">
        <f t="array" ref="D35">K29*INDEX(I2:I24,B27,1)</f>
        <v>19.591007484828769</v>
      </c>
    </row>
    <row r="36" spans="1:4" x14ac:dyDescent="0.3">
      <c r="A36" s="12" t="s">
        <v>7</v>
      </c>
      <c r="B36" s="12">
        <f>SUMPRODUCT($N$2:$N$24,J2:J24)</f>
        <v>33.531555968770043</v>
      </c>
      <c r="C36" t="s">
        <v>53</v>
      </c>
      <c r="D36" s="5" cm="1">
        <f t="array" ref="D36">K29*INDEX(J2:J24,B27,1)</f>
        <v>33.531555968770085</v>
      </c>
    </row>
    <row r="37" spans="1:4" x14ac:dyDescent="0.3">
      <c r="A37" s="12" t="s">
        <v>51</v>
      </c>
      <c r="B37" s="12">
        <f>SUMPRODUCT($N$2:$N$24,K2:K24)</f>
        <v>9.5995936675661131</v>
      </c>
      <c r="C37" t="s">
        <v>53</v>
      </c>
      <c r="D37" s="5" cm="1">
        <f t="array" ref="D37">K29*INDEX(K2:K24,B27,1)</f>
        <v>9.5995936675660971</v>
      </c>
    </row>
    <row r="38" spans="1:4" x14ac:dyDescent="0.3">
      <c r="A38" s="12" t="s">
        <v>9</v>
      </c>
      <c r="B38" s="12">
        <f>SUMPRODUCT($N$2:$N$24,L2:L24)</f>
        <v>21.550108233311633</v>
      </c>
      <c r="C38" t="s">
        <v>53</v>
      </c>
      <c r="D38" s="5" cm="1">
        <f t="array" ref="D38">K29*INDEX(L2:L24,B27,1)</f>
        <v>21.550108233311644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864EA-969A-423F-92A5-DD964E8D7E93}">
  <sheetPr codeName="Sheet6"/>
  <dimension ref="A1:P39"/>
  <sheetViews>
    <sheetView zoomScale="62" zoomScaleNormal="90" workbookViewId="0">
      <selection activeCell="P37" sqref="P37"/>
    </sheetView>
  </sheetViews>
  <sheetFormatPr defaultRowHeight="14.4" x14ac:dyDescent="0.3"/>
  <cols>
    <col min="1" max="1" width="37.21875" customWidth="1"/>
    <col min="10" max="10" width="12.5546875" customWidth="1"/>
    <col min="11" max="11" width="14.109375" customWidth="1"/>
    <col min="12" max="12" width="20.6640625" customWidth="1"/>
    <col min="14" max="14" width="19.88671875" customWidth="1"/>
    <col min="16" max="16" width="38.5546875" customWidth="1"/>
  </cols>
  <sheetData>
    <row r="1" spans="1:16" x14ac:dyDescent="0.3">
      <c r="A1" s="1" t="s">
        <v>10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N1" s="1" t="s">
        <v>46</v>
      </c>
      <c r="P1" s="1" t="s">
        <v>58</v>
      </c>
    </row>
    <row r="2" spans="1:16" x14ac:dyDescent="0.3">
      <c r="A2" t="s">
        <v>13</v>
      </c>
      <c r="B2">
        <v>62</v>
      </c>
      <c r="C2">
        <v>221.5</v>
      </c>
      <c r="D2">
        <v>10</v>
      </c>
      <c r="E2">
        <v>1455</v>
      </c>
      <c r="F2">
        <v>0</v>
      </c>
      <c r="G2">
        <v>0</v>
      </c>
      <c r="I2">
        <v>74</v>
      </c>
      <c r="J2">
        <v>19.66</v>
      </c>
      <c r="K2" s="2">
        <v>19.66</v>
      </c>
      <c r="L2">
        <v>17.899999999999999</v>
      </c>
      <c r="N2" s="9">
        <v>0</v>
      </c>
      <c r="P2" t="s">
        <v>59</v>
      </c>
    </row>
    <row r="3" spans="1:16" x14ac:dyDescent="0.3">
      <c r="A3" t="s">
        <v>14</v>
      </c>
      <c r="B3">
        <v>44</v>
      </c>
      <c r="C3">
        <v>149.5</v>
      </c>
      <c r="D3">
        <v>2</v>
      </c>
      <c r="E3">
        <v>1294</v>
      </c>
      <c r="F3">
        <v>1</v>
      </c>
      <c r="G3">
        <v>0</v>
      </c>
      <c r="I3">
        <v>62</v>
      </c>
      <c r="J3">
        <v>20.87</v>
      </c>
      <c r="K3" s="2">
        <v>8.6300000000000008</v>
      </c>
      <c r="L3">
        <v>14.5</v>
      </c>
      <c r="N3" s="9">
        <v>0</v>
      </c>
      <c r="P3">
        <v>1.3359872514797382</v>
      </c>
    </row>
    <row r="4" spans="1:16" x14ac:dyDescent="0.3">
      <c r="A4" t="s">
        <v>15</v>
      </c>
      <c r="B4">
        <v>35</v>
      </c>
      <c r="C4">
        <v>123.2</v>
      </c>
      <c r="D4">
        <v>2</v>
      </c>
      <c r="E4">
        <v>832</v>
      </c>
      <c r="F4">
        <v>1</v>
      </c>
      <c r="G4">
        <v>2</v>
      </c>
      <c r="I4">
        <v>59</v>
      </c>
      <c r="J4">
        <v>14.1</v>
      </c>
      <c r="K4" s="2">
        <v>6.74</v>
      </c>
      <c r="L4">
        <v>12.5</v>
      </c>
      <c r="N4" s="9">
        <v>0</v>
      </c>
      <c r="P4">
        <v>1.4517935808684712</v>
      </c>
    </row>
    <row r="5" spans="1:16" x14ac:dyDescent="0.3">
      <c r="A5" t="s">
        <v>16</v>
      </c>
      <c r="B5">
        <v>87</v>
      </c>
      <c r="C5">
        <v>298.3</v>
      </c>
      <c r="D5">
        <v>10</v>
      </c>
      <c r="E5">
        <v>2079</v>
      </c>
      <c r="F5">
        <v>3</v>
      </c>
      <c r="G5">
        <v>2</v>
      </c>
      <c r="I5">
        <v>90</v>
      </c>
      <c r="J5">
        <v>23.1</v>
      </c>
      <c r="K5">
        <v>6.96</v>
      </c>
      <c r="L5">
        <v>19.899999999999999</v>
      </c>
      <c r="N5" s="9">
        <v>0</v>
      </c>
      <c r="P5" t="s">
        <v>59</v>
      </c>
    </row>
    <row r="6" spans="1:16" x14ac:dyDescent="0.3">
      <c r="A6" t="s">
        <v>17</v>
      </c>
      <c r="B6">
        <v>24</v>
      </c>
      <c r="C6">
        <v>93.4</v>
      </c>
      <c r="D6">
        <v>0</v>
      </c>
      <c r="E6">
        <v>703</v>
      </c>
      <c r="F6">
        <v>1</v>
      </c>
      <c r="G6">
        <v>0</v>
      </c>
      <c r="I6">
        <v>36</v>
      </c>
      <c r="J6">
        <v>19.52</v>
      </c>
      <c r="K6" s="2">
        <v>7.5</v>
      </c>
      <c r="L6">
        <v>15.6</v>
      </c>
      <c r="N6" s="9">
        <v>0</v>
      </c>
      <c r="P6" t="s">
        <v>59</v>
      </c>
    </row>
    <row r="7" spans="1:16" x14ac:dyDescent="0.3">
      <c r="A7" t="s">
        <v>18</v>
      </c>
      <c r="B7">
        <v>66</v>
      </c>
      <c r="C7">
        <v>212</v>
      </c>
      <c r="D7">
        <v>4</v>
      </c>
      <c r="E7">
        <v>1506</v>
      </c>
      <c r="F7">
        <v>0</v>
      </c>
      <c r="G7">
        <v>0</v>
      </c>
      <c r="I7">
        <v>53</v>
      </c>
      <c r="J7">
        <v>28.41</v>
      </c>
      <c r="K7" s="2">
        <v>7.1</v>
      </c>
      <c r="L7">
        <v>24</v>
      </c>
      <c r="N7" s="9">
        <v>0</v>
      </c>
      <c r="P7" t="s">
        <v>59</v>
      </c>
    </row>
    <row r="8" spans="1:16" x14ac:dyDescent="0.3">
      <c r="A8" t="s">
        <v>19</v>
      </c>
      <c r="B8">
        <v>65</v>
      </c>
      <c r="C8">
        <v>242</v>
      </c>
      <c r="D8">
        <v>3</v>
      </c>
      <c r="E8">
        <v>1672</v>
      </c>
      <c r="F8">
        <v>2</v>
      </c>
      <c r="G8">
        <v>0</v>
      </c>
      <c r="I8">
        <v>72</v>
      </c>
      <c r="J8">
        <v>23.22</v>
      </c>
      <c r="K8" s="2">
        <v>6.9</v>
      </c>
      <c r="L8">
        <v>20.100000000000001</v>
      </c>
      <c r="N8" s="9">
        <v>0</v>
      </c>
      <c r="P8" t="s">
        <v>59</v>
      </c>
    </row>
    <row r="9" spans="1:16" x14ac:dyDescent="0.3">
      <c r="A9" t="s">
        <v>20</v>
      </c>
      <c r="B9">
        <v>52</v>
      </c>
      <c r="C9">
        <v>163.1</v>
      </c>
      <c r="D9">
        <v>1</v>
      </c>
      <c r="E9">
        <v>1186</v>
      </c>
      <c r="F9">
        <v>0</v>
      </c>
      <c r="G9">
        <v>0</v>
      </c>
      <c r="I9">
        <v>49</v>
      </c>
      <c r="J9">
        <v>24.2</v>
      </c>
      <c r="K9" s="2">
        <v>7.26</v>
      </c>
      <c r="L9">
        <v>19.899999999999999</v>
      </c>
      <c r="N9" s="9">
        <v>0</v>
      </c>
      <c r="P9">
        <v>3.3983286908077805</v>
      </c>
    </row>
    <row r="10" spans="1:16" x14ac:dyDescent="0.3">
      <c r="A10" t="s">
        <v>21</v>
      </c>
      <c r="B10">
        <v>23</v>
      </c>
      <c r="C10">
        <v>79.3</v>
      </c>
      <c r="D10">
        <v>1</v>
      </c>
      <c r="E10">
        <v>711</v>
      </c>
      <c r="F10">
        <v>0</v>
      </c>
      <c r="G10">
        <v>0</v>
      </c>
      <c r="I10">
        <v>24</v>
      </c>
      <c r="J10">
        <v>29.62</v>
      </c>
      <c r="K10" s="2">
        <v>8.94</v>
      </c>
      <c r="L10">
        <v>19.8</v>
      </c>
      <c r="N10" s="9">
        <v>0</v>
      </c>
      <c r="P10">
        <v>1.045358040270091</v>
      </c>
    </row>
    <row r="11" spans="1:16" x14ac:dyDescent="0.3">
      <c r="A11" t="s">
        <v>22</v>
      </c>
      <c r="B11">
        <v>10</v>
      </c>
      <c r="C11">
        <v>38</v>
      </c>
      <c r="D11">
        <v>2</v>
      </c>
      <c r="E11">
        <v>334</v>
      </c>
      <c r="F11">
        <v>1</v>
      </c>
      <c r="G11">
        <v>0</v>
      </c>
      <c r="I11">
        <v>12</v>
      </c>
      <c r="J11">
        <v>27.83</v>
      </c>
      <c r="K11" s="2">
        <v>8.7799999999999994</v>
      </c>
      <c r="L11">
        <v>19</v>
      </c>
      <c r="N11" s="9">
        <v>0</v>
      </c>
      <c r="P11">
        <v>1.0332888353021006</v>
      </c>
    </row>
    <row r="12" spans="1:16" x14ac:dyDescent="0.3">
      <c r="A12" t="s">
        <v>23</v>
      </c>
      <c r="B12">
        <v>8</v>
      </c>
      <c r="C12">
        <v>23.1</v>
      </c>
      <c r="D12">
        <v>0</v>
      </c>
      <c r="E12">
        <v>243</v>
      </c>
      <c r="F12">
        <v>0</v>
      </c>
      <c r="G12">
        <v>0</v>
      </c>
      <c r="I12">
        <v>11</v>
      </c>
      <c r="J12">
        <v>22.09</v>
      </c>
      <c r="K12" s="2">
        <v>10.48</v>
      </c>
      <c r="L12">
        <v>12.6</v>
      </c>
      <c r="N12" s="9">
        <v>0</v>
      </c>
      <c r="P12" t="s">
        <v>59</v>
      </c>
    </row>
    <row r="13" spans="1:16" x14ac:dyDescent="0.3">
      <c r="A13" t="s">
        <v>24</v>
      </c>
      <c r="B13">
        <v>20</v>
      </c>
      <c r="C13">
        <v>66.2</v>
      </c>
      <c r="D13">
        <v>1</v>
      </c>
      <c r="E13">
        <v>618</v>
      </c>
      <c r="F13">
        <v>1</v>
      </c>
      <c r="G13">
        <v>0</v>
      </c>
      <c r="I13">
        <v>19</v>
      </c>
      <c r="J13">
        <v>32.520000000000003</v>
      </c>
      <c r="K13" s="2">
        <v>9.31</v>
      </c>
      <c r="L13">
        <v>20.9</v>
      </c>
      <c r="N13" s="9">
        <v>0</v>
      </c>
      <c r="P13">
        <v>0.91452472490386061</v>
      </c>
    </row>
    <row r="14" spans="1:16" x14ac:dyDescent="0.3">
      <c r="A14" t="s">
        <v>25</v>
      </c>
      <c r="B14">
        <v>25</v>
      </c>
      <c r="C14">
        <v>90</v>
      </c>
      <c r="D14">
        <v>2</v>
      </c>
      <c r="E14">
        <v>747</v>
      </c>
      <c r="F14">
        <v>0</v>
      </c>
      <c r="G14">
        <v>1</v>
      </c>
      <c r="I14">
        <v>31</v>
      </c>
      <c r="J14">
        <v>24.09</v>
      </c>
      <c r="K14" s="2">
        <v>8.3000000000000007</v>
      </c>
      <c r="L14">
        <v>17.399999999999999</v>
      </c>
      <c r="N14" s="9">
        <v>0</v>
      </c>
      <c r="P14">
        <v>1.1143138370680241</v>
      </c>
    </row>
    <row r="15" spans="1:16" x14ac:dyDescent="0.3">
      <c r="A15" t="s">
        <v>26</v>
      </c>
      <c r="B15">
        <v>80</v>
      </c>
      <c r="C15">
        <v>294</v>
      </c>
      <c r="D15">
        <v>2</v>
      </c>
      <c r="E15">
        <v>2409</v>
      </c>
      <c r="F15">
        <v>2</v>
      </c>
      <c r="G15">
        <v>1</v>
      </c>
      <c r="I15">
        <v>96</v>
      </c>
      <c r="J15">
        <v>25.09</v>
      </c>
      <c r="K15" s="2">
        <v>8.19</v>
      </c>
      <c r="L15">
        <v>18.3</v>
      </c>
      <c r="N15" s="9">
        <v>0</v>
      </c>
      <c r="P15" t="s">
        <v>59</v>
      </c>
    </row>
    <row r="16" spans="1:16" x14ac:dyDescent="0.3">
      <c r="A16" t="s">
        <v>27</v>
      </c>
      <c r="B16">
        <v>92</v>
      </c>
      <c r="C16">
        <v>238.5</v>
      </c>
      <c r="D16">
        <v>1</v>
      </c>
      <c r="E16">
        <v>1950</v>
      </c>
      <c r="F16">
        <v>3</v>
      </c>
      <c r="G16">
        <v>0</v>
      </c>
      <c r="I16">
        <v>73</v>
      </c>
      <c r="J16">
        <v>26.71</v>
      </c>
      <c r="K16" s="2">
        <v>8.16</v>
      </c>
      <c r="L16">
        <v>19.600000000000001</v>
      </c>
      <c r="N16" s="9">
        <v>0</v>
      </c>
      <c r="P16" t="s">
        <v>59</v>
      </c>
    </row>
    <row r="17" spans="1:16" x14ac:dyDescent="0.3">
      <c r="A17" t="s">
        <v>28</v>
      </c>
      <c r="B17">
        <v>25</v>
      </c>
      <c r="C17">
        <v>84.2</v>
      </c>
      <c r="D17">
        <v>0</v>
      </c>
      <c r="E17">
        <v>772</v>
      </c>
      <c r="F17">
        <v>1</v>
      </c>
      <c r="G17">
        <v>0</v>
      </c>
      <c r="I17">
        <v>33</v>
      </c>
      <c r="J17">
        <v>23.29</v>
      </c>
      <c r="K17" s="2">
        <v>9.15</v>
      </c>
      <c r="L17">
        <v>15.3</v>
      </c>
      <c r="N17" s="9">
        <v>0</v>
      </c>
      <c r="P17" t="s">
        <v>59</v>
      </c>
    </row>
    <row r="18" spans="1:16" x14ac:dyDescent="0.3">
      <c r="A18" t="s">
        <v>29</v>
      </c>
      <c r="B18">
        <v>21</v>
      </c>
      <c r="C18">
        <v>36.299999999999997</v>
      </c>
      <c r="D18">
        <v>0</v>
      </c>
      <c r="E18">
        <v>360</v>
      </c>
      <c r="F18">
        <v>0</v>
      </c>
      <c r="G18">
        <v>0</v>
      </c>
      <c r="I18">
        <v>8</v>
      </c>
      <c r="J18">
        <v>45</v>
      </c>
      <c r="K18" s="2">
        <v>9.86</v>
      </c>
      <c r="L18">
        <v>27.3</v>
      </c>
      <c r="N18" s="9">
        <v>0.30894308943089416</v>
      </c>
      <c r="P18" t="s">
        <v>59</v>
      </c>
    </row>
    <row r="19" spans="1:16" x14ac:dyDescent="0.3">
      <c r="A19" t="s">
        <v>30</v>
      </c>
      <c r="B19">
        <v>43</v>
      </c>
      <c r="C19">
        <v>134.30000000000001</v>
      </c>
      <c r="D19">
        <v>1</v>
      </c>
      <c r="E19">
        <v>968</v>
      </c>
      <c r="F19">
        <v>0</v>
      </c>
      <c r="G19">
        <v>0</v>
      </c>
      <c r="I19">
        <v>34</v>
      </c>
      <c r="J19">
        <v>28.47</v>
      </c>
      <c r="K19" s="2">
        <v>7.19</v>
      </c>
      <c r="L19">
        <v>23.7</v>
      </c>
      <c r="N19" s="9">
        <v>0</v>
      </c>
      <c r="P19">
        <v>1.2918563480020264</v>
      </c>
    </row>
    <row r="20" spans="1:16" x14ac:dyDescent="0.3">
      <c r="A20" t="s">
        <v>31</v>
      </c>
      <c r="B20">
        <v>5</v>
      </c>
      <c r="C20">
        <v>20</v>
      </c>
      <c r="D20">
        <v>0</v>
      </c>
      <c r="E20">
        <v>220</v>
      </c>
      <c r="F20">
        <v>0</v>
      </c>
      <c r="G20">
        <v>0</v>
      </c>
      <c r="I20">
        <v>8</v>
      </c>
      <c r="J20">
        <v>27.5</v>
      </c>
      <c r="K20" s="2">
        <v>11</v>
      </c>
      <c r="L20">
        <v>15</v>
      </c>
      <c r="N20" s="9">
        <v>0.6910569105691059</v>
      </c>
      <c r="P20" t="s">
        <v>59</v>
      </c>
    </row>
    <row r="21" spans="1:16" x14ac:dyDescent="0.3">
      <c r="A21" t="s">
        <v>32</v>
      </c>
      <c r="B21">
        <v>14</v>
      </c>
      <c r="C21">
        <v>43.5</v>
      </c>
      <c r="D21">
        <v>0</v>
      </c>
      <c r="E21">
        <v>412</v>
      </c>
      <c r="F21">
        <v>0</v>
      </c>
      <c r="G21">
        <v>0</v>
      </c>
      <c r="I21">
        <v>12</v>
      </c>
      <c r="J21">
        <v>34.33</v>
      </c>
      <c r="K21" s="2">
        <v>9.39</v>
      </c>
      <c r="L21">
        <v>21.9</v>
      </c>
      <c r="N21" s="9">
        <v>0</v>
      </c>
      <c r="P21" t="s">
        <v>59</v>
      </c>
    </row>
    <row r="22" spans="1:16" x14ac:dyDescent="0.3">
      <c r="A22" t="s">
        <v>33</v>
      </c>
      <c r="B22">
        <v>19</v>
      </c>
      <c r="C22">
        <v>68.2</v>
      </c>
      <c r="D22">
        <v>1</v>
      </c>
      <c r="E22">
        <v>554</v>
      </c>
      <c r="F22">
        <v>1</v>
      </c>
      <c r="G22">
        <v>0</v>
      </c>
      <c r="I22">
        <v>15</v>
      </c>
      <c r="J22">
        <v>36.93</v>
      </c>
      <c r="K22" s="2">
        <v>8.1</v>
      </c>
      <c r="L22">
        <v>27.3</v>
      </c>
      <c r="N22" s="9">
        <v>0</v>
      </c>
      <c r="P22" t="s">
        <v>59</v>
      </c>
    </row>
    <row r="23" spans="1:16" x14ac:dyDescent="0.3">
      <c r="A23" t="s">
        <v>34</v>
      </c>
      <c r="B23">
        <v>9</v>
      </c>
      <c r="C23">
        <v>9.1</v>
      </c>
      <c r="D23">
        <v>0</v>
      </c>
      <c r="E23">
        <v>75</v>
      </c>
      <c r="F23">
        <v>0</v>
      </c>
      <c r="G23">
        <v>0</v>
      </c>
      <c r="I23">
        <v>5</v>
      </c>
      <c r="J23">
        <v>15</v>
      </c>
      <c r="K23" s="2">
        <v>8.18</v>
      </c>
      <c r="L23">
        <v>11</v>
      </c>
      <c r="N23" s="9">
        <v>0</v>
      </c>
      <c r="P23">
        <v>2.372291633718191</v>
      </c>
    </row>
    <row r="24" spans="1:16" x14ac:dyDescent="0.3">
      <c r="A24" t="s">
        <v>35</v>
      </c>
      <c r="B24">
        <v>6</v>
      </c>
      <c r="C24">
        <v>22</v>
      </c>
      <c r="D24">
        <v>0</v>
      </c>
      <c r="E24">
        <v>167</v>
      </c>
      <c r="F24">
        <v>0</v>
      </c>
      <c r="G24">
        <v>0</v>
      </c>
      <c r="I24">
        <v>7</v>
      </c>
      <c r="J24">
        <v>23.85</v>
      </c>
      <c r="K24" s="2">
        <v>7.59</v>
      </c>
      <c r="L24">
        <v>18.8</v>
      </c>
      <c r="N24" s="9">
        <v>0</v>
      </c>
      <c r="P24">
        <v>1.6571815718157177</v>
      </c>
    </row>
    <row r="25" spans="1:16" x14ac:dyDescent="0.3">
      <c r="N25" s="9"/>
    </row>
    <row r="26" spans="1:16" x14ac:dyDescent="0.3">
      <c r="A26" t="s">
        <v>48</v>
      </c>
      <c r="N26" s="14">
        <f>SUM(N2:N24)</f>
        <v>1</v>
      </c>
    </row>
    <row r="27" spans="1:16" x14ac:dyDescent="0.3">
      <c r="A27" t="s">
        <v>49</v>
      </c>
      <c r="B27" s="5">
        <v>23</v>
      </c>
      <c r="K27" t="s">
        <v>54</v>
      </c>
    </row>
    <row r="28" spans="1:16" x14ac:dyDescent="0.3">
      <c r="A28" s="10" t="s">
        <v>50</v>
      </c>
      <c r="K28" t="s">
        <v>55</v>
      </c>
    </row>
    <row r="29" spans="1:16" x14ac:dyDescent="0.3">
      <c r="A29" s="11" t="s">
        <v>0</v>
      </c>
      <c r="B29" s="11">
        <f>SUMPRODUCT($N$2:$N$24,B2:B24)</f>
        <v>9.9430894308943074</v>
      </c>
      <c r="C29" t="s">
        <v>52</v>
      </c>
      <c r="D29" s="5" cm="1">
        <f t="array" ref="D29">K29*INDEX(B2:B24,B27,1)</f>
        <v>9.9430894308943056</v>
      </c>
      <c r="K29" s="13">
        <v>1.6571815718157177</v>
      </c>
    </row>
    <row r="30" spans="1:16" x14ac:dyDescent="0.3">
      <c r="A30" s="11" t="s">
        <v>1</v>
      </c>
      <c r="B30" s="11">
        <f>SUMPRODUCT($N$2:$N$24,C2:C24)</f>
        <v>25.035772357723573</v>
      </c>
      <c r="C30" t="s">
        <v>52</v>
      </c>
      <c r="D30" s="5" cm="1">
        <f t="array" ref="D30">K29*INDEX(C2:C24,B27,1)</f>
        <v>36.45799457994579</v>
      </c>
    </row>
    <row r="31" spans="1:16" x14ac:dyDescent="0.3">
      <c r="A31" s="11" t="s">
        <v>2</v>
      </c>
      <c r="B31" s="11">
        <f>SUMPRODUCT($N$2:$N$24,D2:D24)</f>
        <v>0</v>
      </c>
      <c r="C31" t="s">
        <v>52</v>
      </c>
      <c r="D31" s="5" cm="1">
        <f t="array" ref="D31">K29*INDEX(D2:D24,B27,1)</f>
        <v>0</v>
      </c>
    </row>
    <row r="32" spans="1:16" x14ac:dyDescent="0.3">
      <c r="A32" s="11" t="s">
        <v>3</v>
      </c>
      <c r="B32" s="11">
        <f>SUMPRODUCT($N$2:$N$24,E2:E24)</f>
        <v>263.2520325203252</v>
      </c>
      <c r="C32" t="s">
        <v>52</v>
      </c>
      <c r="D32" s="5" cm="1">
        <f t="array" ref="D32">K29*INDEX(E2:E24,B27,1)</f>
        <v>276.74932249322484</v>
      </c>
    </row>
    <row r="33" spans="1:4" x14ac:dyDescent="0.3">
      <c r="A33" s="11" t="s">
        <v>4</v>
      </c>
      <c r="B33" s="11">
        <f>SUMPRODUCT($N$2:$N$24,F2:F24)</f>
        <v>0</v>
      </c>
      <c r="C33" t="s">
        <v>52</v>
      </c>
      <c r="D33" s="5" cm="1">
        <f t="array" ref="D33">K29*INDEX(F2:F24,B27,1)</f>
        <v>0</v>
      </c>
    </row>
    <row r="34" spans="1:4" x14ac:dyDescent="0.3">
      <c r="A34" s="11" t="s">
        <v>5</v>
      </c>
      <c r="B34" s="11">
        <f>SUMPRODUCT($N$2:$N$24,G2:G24)</f>
        <v>0</v>
      </c>
      <c r="C34" t="s">
        <v>52</v>
      </c>
      <c r="D34" s="5" cm="1">
        <f t="array" ref="D34">K29*INDEX(G2:G24,B27,1)</f>
        <v>0</v>
      </c>
    </row>
    <row r="35" spans="1:4" x14ac:dyDescent="0.3">
      <c r="A35" s="12" t="s">
        <v>6</v>
      </c>
      <c r="B35" s="12">
        <f>SUMPRODUCT($N$2:$N$24,I2:I24)</f>
        <v>8</v>
      </c>
      <c r="C35" t="s">
        <v>53</v>
      </c>
      <c r="D35" s="5" cm="1">
        <f t="array" ref="D35">INDEX(I2:I24,B27,1)</f>
        <v>7</v>
      </c>
    </row>
    <row r="36" spans="1:4" x14ac:dyDescent="0.3">
      <c r="A36" s="12" t="s">
        <v>7</v>
      </c>
      <c r="B36" s="12">
        <f>SUMPRODUCT($N$2:$N$24,J2:J24)</f>
        <v>32.90650406504065</v>
      </c>
      <c r="C36" t="s">
        <v>53</v>
      </c>
      <c r="D36" s="5" cm="1">
        <f t="array" ref="D36">INDEX(J2:J24,B27,1)</f>
        <v>23.85</v>
      </c>
    </row>
    <row r="37" spans="1:4" x14ac:dyDescent="0.3">
      <c r="A37" s="12" t="s">
        <v>51</v>
      </c>
      <c r="B37" s="12">
        <f>SUMPRODUCT($N$2:$N$24,K2:K24)</f>
        <v>10.647804878048781</v>
      </c>
      <c r="C37" t="s">
        <v>53</v>
      </c>
      <c r="D37" s="5" cm="1">
        <f t="array" ref="D37">INDEX(K2:K24,B27,1)</f>
        <v>7.59</v>
      </c>
    </row>
    <row r="38" spans="1:4" x14ac:dyDescent="0.3">
      <c r="A38" s="12" t="s">
        <v>9</v>
      </c>
      <c r="B38" s="12">
        <f>SUMPRODUCT($N$2:$N$24,L2:L24)</f>
        <v>18.799999999999997</v>
      </c>
      <c r="C38" t="s">
        <v>53</v>
      </c>
      <c r="D38" s="5" cm="1">
        <f t="array" ref="D38">INDEX(L2:L24,B27,1)</f>
        <v>18.8</v>
      </c>
    </row>
    <row r="39" spans="1:4" x14ac:dyDescent="0.3">
      <c r="A39" s="15" t="s">
        <v>56</v>
      </c>
      <c r="B39" s="15" cm="1">
        <f t="array" ref="B39">INDEX(N2:N24,B27,1)</f>
        <v>0</v>
      </c>
      <c r="C39" t="s">
        <v>57</v>
      </c>
      <c r="D39" s="5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AF1CE-AF50-406F-8EBD-94E899F5671D}">
  <sheetPr codeName="Sheet7"/>
  <dimension ref="A1:P39"/>
  <sheetViews>
    <sheetView tabSelected="1" zoomScale="53" workbookViewId="0">
      <selection activeCell="N43" sqref="N43"/>
    </sheetView>
  </sheetViews>
  <sheetFormatPr defaultRowHeight="14.4" x14ac:dyDescent="0.3"/>
  <cols>
    <col min="1" max="1" width="42.44140625" customWidth="1"/>
    <col min="10" max="10" width="12.5546875" customWidth="1"/>
    <col min="11" max="11" width="14.109375" customWidth="1"/>
    <col min="12" max="12" width="20.6640625" customWidth="1"/>
    <col min="14" max="14" width="19.88671875" customWidth="1"/>
    <col min="16" max="16" width="27.88671875" customWidth="1"/>
  </cols>
  <sheetData>
    <row r="1" spans="1:16" x14ac:dyDescent="0.3">
      <c r="A1" s="1" t="s">
        <v>10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I1" s="1" t="s">
        <v>6</v>
      </c>
      <c r="J1" s="1" t="s">
        <v>7</v>
      </c>
      <c r="K1" s="1" t="s">
        <v>8</v>
      </c>
      <c r="L1" s="1" t="s">
        <v>9</v>
      </c>
      <c r="N1" s="1" t="s">
        <v>46</v>
      </c>
      <c r="P1" s="1" t="s">
        <v>58</v>
      </c>
    </row>
    <row r="2" spans="1:16" x14ac:dyDescent="0.3">
      <c r="A2" t="s">
        <v>13</v>
      </c>
      <c r="B2">
        <v>62</v>
      </c>
      <c r="C2">
        <v>221.5</v>
      </c>
      <c r="D2">
        <v>10</v>
      </c>
      <c r="E2">
        <v>1455</v>
      </c>
      <c r="F2">
        <v>0</v>
      </c>
      <c r="G2">
        <v>0</v>
      </c>
      <c r="I2">
        <v>74</v>
      </c>
      <c r="J2">
        <v>19.66</v>
      </c>
      <c r="K2" s="2">
        <v>19.66</v>
      </c>
      <c r="L2">
        <v>17.899999999999999</v>
      </c>
      <c r="N2" s="9">
        <v>9.9999999999999908E-2</v>
      </c>
      <c r="P2">
        <v>0.44847864996164671</v>
      </c>
    </row>
    <row r="3" spans="1:16" x14ac:dyDescent="0.3">
      <c r="A3" t="s">
        <v>14</v>
      </c>
      <c r="B3">
        <v>44</v>
      </c>
      <c r="C3">
        <v>149.5</v>
      </c>
      <c r="D3">
        <v>2</v>
      </c>
      <c r="E3">
        <v>1294</v>
      </c>
      <c r="F3">
        <v>1</v>
      </c>
      <c r="G3">
        <v>0</v>
      </c>
      <c r="I3">
        <v>62</v>
      </c>
      <c r="J3">
        <v>20.87</v>
      </c>
      <c r="K3" s="2">
        <v>8.6300000000000008</v>
      </c>
      <c r="L3">
        <v>14.5</v>
      </c>
      <c r="N3" s="9">
        <v>0</v>
      </c>
      <c r="P3">
        <v>0.81139082184833899</v>
      </c>
    </row>
    <row r="4" spans="1:16" x14ac:dyDescent="0.3">
      <c r="A4" t="s">
        <v>15</v>
      </c>
      <c r="B4">
        <v>35</v>
      </c>
      <c r="C4">
        <v>123.2</v>
      </c>
      <c r="D4">
        <v>2</v>
      </c>
      <c r="E4">
        <v>832</v>
      </c>
      <c r="F4">
        <v>1</v>
      </c>
      <c r="G4">
        <v>2</v>
      </c>
      <c r="I4">
        <v>59</v>
      </c>
      <c r="J4">
        <v>14.1</v>
      </c>
      <c r="K4" s="2">
        <v>6.74</v>
      </c>
      <c r="L4">
        <v>12.5</v>
      </c>
      <c r="N4" s="9">
        <v>0</v>
      </c>
      <c r="P4">
        <v>0.72107848429234633</v>
      </c>
    </row>
    <row r="5" spans="1:16" x14ac:dyDescent="0.3">
      <c r="A5" t="s">
        <v>16</v>
      </c>
      <c r="B5">
        <v>87</v>
      </c>
      <c r="C5">
        <v>298.3</v>
      </c>
      <c r="D5">
        <v>10</v>
      </c>
      <c r="E5">
        <v>2079</v>
      </c>
      <c r="F5">
        <v>3</v>
      </c>
      <c r="G5">
        <v>2</v>
      </c>
      <c r="I5">
        <v>90</v>
      </c>
      <c r="J5">
        <v>23.1</v>
      </c>
      <c r="K5">
        <v>6.96</v>
      </c>
      <c r="L5">
        <v>19.899999999999999</v>
      </c>
      <c r="N5" s="9">
        <v>0</v>
      </c>
      <c r="P5">
        <v>0.95269824914233892</v>
      </c>
    </row>
    <row r="6" spans="1:16" x14ac:dyDescent="0.3">
      <c r="A6" t="s">
        <v>17</v>
      </c>
      <c r="B6">
        <v>24</v>
      </c>
      <c r="C6">
        <v>93.4</v>
      </c>
      <c r="D6">
        <v>0</v>
      </c>
      <c r="E6">
        <v>703</v>
      </c>
      <c r="F6">
        <v>1</v>
      </c>
      <c r="G6">
        <v>0</v>
      </c>
      <c r="I6">
        <v>36</v>
      </c>
      <c r="J6">
        <v>19.52</v>
      </c>
      <c r="K6" s="2">
        <v>7.5</v>
      </c>
      <c r="L6">
        <v>15.6</v>
      </c>
      <c r="N6" s="9">
        <v>0</v>
      </c>
      <c r="P6">
        <v>0.83967001434720223</v>
      </c>
    </row>
    <row r="7" spans="1:16" x14ac:dyDescent="0.3">
      <c r="A7" t="s">
        <v>18</v>
      </c>
      <c r="B7">
        <v>66</v>
      </c>
      <c r="C7">
        <v>212</v>
      </c>
      <c r="D7">
        <v>4</v>
      </c>
      <c r="E7">
        <v>1506</v>
      </c>
      <c r="F7">
        <v>0</v>
      </c>
      <c r="G7">
        <v>0</v>
      </c>
      <c r="I7">
        <v>53</v>
      </c>
      <c r="J7">
        <v>28.41</v>
      </c>
      <c r="K7" s="2">
        <v>7.1</v>
      </c>
      <c r="L7">
        <v>24</v>
      </c>
      <c r="N7" s="9">
        <v>0</v>
      </c>
      <c r="P7">
        <v>0.90074517299381451</v>
      </c>
    </row>
    <row r="8" spans="1:16" x14ac:dyDescent="0.3">
      <c r="A8" t="s">
        <v>19</v>
      </c>
      <c r="B8">
        <v>65</v>
      </c>
      <c r="C8">
        <v>242</v>
      </c>
      <c r="D8">
        <v>3</v>
      </c>
      <c r="E8">
        <v>1672</v>
      </c>
      <c r="F8">
        <v>2</v>
      </c>
      <c r="G8">
        <v>0</v>
      </c>
      <c r="I8">
        <v>72</v>
      </c>
      <c r="J8">
        <v>23.22</v>
      </c>
      <c r="K8" s="2">
        <v>6.9</v>
      </c>
      <c r="L8">
        <v>20.100000000000001</v>
      </c>
      <c r="N8" s="9">
        <v>0</v>
      </c>
      <c r="P8">
        <v>0.90563659117961137</v>
      </c>
    </row>
    <row r="9" spans="1:16" x14ac:dyDescent="0.3">
      <c r="A9" t="s">
        <v>20</v>
      </c>
      <c r="B9">
        <v>52</v>
      </c>
      <c r="C9">
        <v>163.1</v>
      </c>
      <c r="D9">
        <v>1</v>
      </c>
      <c r="E9">
        <v>1186</v>
      </c>
      <c r="F9">
        <v>0</v>
      </c>
      <c r="G9">
        <v>0</v>
      </c>
      <c r="I9">
        <v>49</v>
      </c>
      <c r="J9">
        <v>24.2</v>
      </c>
      <c r="K9" s="2">
        <v>7.26</v>
      </c>
      <c r="L9">
        <v>19.899999999999999</v>
      </c>
      <c r="N9" s="9">
        <v>0</v>
      </c>
      <c r="P9">
        <v>0.69387755102040205</v>
      </c>
    </row>
    <row r="10" spans="1:16" x14ac:dyDescent="0.3">
      <c r="A10" t="s">
        <v>21</v>
      </c>
      <c r="B10">
        <v>23</v>
      </c>
      <c r="C10">
        <v>79.3</v>
      </c>
      <c r="D10">
        <v>1</v>
      </c>
      <c r="E10">
        <v>711</v>
      </c>
      <c r="F10">
        <v>0</v>
      </c>
      <c r="G10">
        <v>0</v>
      </c>
      <c r="I10">
        <v>24</v>
      </c>
      <c r="J10">
        <v>29.62</v>
      </c>
      <c r="K10" s="2">
        <v>8.94</v>
      </c>
      <c r="L10">
        <v>19.8</v>
      </c>
      <c r="N10" s="9">
        <v>0</v>
      </c>
      <c r="P10">
        <v>0.97208332282046495</v>
      </c>
    </row>
    <row r="11" spans="1:16" x14ac:dyDescent="0.3">
      <c r="A11" t="s">
        <v>22</v>
      </c>
      <c r="B11">
        <v>10</v>
      </c>
      <c r="C11">
        <v>38</v>
      </c>
      <c r="D11">
        <v>2</v>
      </c>
      <c r="E11">
        <v>334</v>
      </c>
      <c r="F11">
        <v>1</v>
      </c>
      <c r="G11">
        <v>0</v>
      </c>
      <c r="I11">
        <v>12</v>
      </c>
      <c r="J11">
        <v>27.83</v>
      </c>
      <c r="K11" s="2">
        <v>8.7799999999999994</v>
      </c>
      <c r="L11">
        <v>19</v>
      </c>
      <c r="N11" s="9">
        <v>0</v>
      </c>
      <c r="P11">
        <v>0.98648971292947629</v>
      </c>
    </row>
    <row r="12" spans="1:16" x14ac:dyDescent="0.3">
      <c r="A12" t="s">
        <v>23</v>
      </c>
      <c r="B12">
        <v>8</v>
      </c>
      <c r="C12">
        <v>23.1</v>
      </c>
      <c r="D12">
        <v>0</v>
      </c>
      <c r="E12">
        <v>243</v>
      </c>
      <c r="F12">
        <v>0</v>
      </c>
      <c r="G12">
        <v>0</v>
      </c>
      <c r="I12">
        <v>11</v>
      </c>
      <c r="J12">
        <v>22.09</v>
      </c>
      <c r="K12" s="2">
        <v>10.48</v>
      </c>
      <c r="L12">
        <v>12.6</v>
      </c>
      <c r="N12" s="9">
        <v>0</v>
      </c>
      <c r="P12">
        <v>0.7711512176071853</v>
      </c>
    </row>
    <row r="13" spans="1:16" x14ac:dyDescent="0.3">
      <c r="A13" t="s">
        <v>24</v>
      </c>
      <c r="B13">
        <v>20</v>
      </c>
      <c r="C13">
        <v>66.2</v>
      </c>
      <c r="D13">
        <v>1</v>
      </c>
      <c r="E13">
        <v>618</v>
      </c>
      <c r="F13">
        <v>1</v>
      </c>
      <c r="G13">
        <v>0</v>
      </c>
      <c r="I13">
        <v>19</v>
      </c>
      <c r="J13">
        <v>32.520000000000003</v>
      </c>
      <c r="K13" s="2">
        <v>9.31</v>
      </c>
      <c r="L13">
        <v>20.9</v>
      </c>
      <c r="N13" s="9">
        <v>0</v>
      </c>
      <c r="P13">
        <v>1.0311056570962511</v>
      </c>
    </row>
    <row r="14" spans="1:16" x14ac:dyDescent="0.3">
      <c r="A14" t="s">
        <v>25</v>
      </c>
      <c r="B14">
        <v>25</v>
      </c>
      <c r="C14">
        <v>90</v>
      </c>
      <c r="D14">
        <v>2</v>
      </c>
      <c r="E14">
        <v>747</v>
      </c>
      <c r="F14">
        <v>0</v>
      </c>
      <c r="G14">
        <v>1</v>
      </c>
      <c r="I14">
        <v>31</v>
      </c>
      <c r="J14">
        <v>24.09</v>
      </c>
      <c r="K14" s="2">
        <v>8.3000000000000007</v>
      </c>
      <c r="L14">
        <v>17.399999999999999</v>
      </c>
      <c r="N14" s="9">
        <v>0</v>
      </c>
      <c r="P14">
        <v>0.91826508495117343</v>
      </c>
    </row>
    <row r="15" spans="1:16" x14ac:dyDescent="0.3">
      <c r="A15" t="s">
        <v>26</v>
      </c>
      <c r="B15">
        <v>80</v>
      </c>
      <c r="C15">
        <v>294</v>
      </c>
      <c r="D15">
        <v>2</v>
      </c>
      <c r="E15">
        <v>2409</v>
      </c>
      <c r="F15">
        <v>2</v>
      </c>
      <c r="G15">
        <v>1</v>
      </c>
      <c r="I15">
        <v>96</v>
      </c>
      <c r="J15">
        <v>25.09</v>
      </c>
      <c r="K15" s="2">
        <v>8.19</v>
      </c>
      <c r="L15">
        <v>18.3</v>
      </c>
      <c r="N15" s="9">
        <v>0</v>
      </c>
      <c r="P15">
        <v>0.71875000000000033</v>
      </c>
    </row>
    <row r="16" spans="1:16" x14ac:dyDescent="0.3">
      <c r="A16" t="s">
        <v>27</v>
      </c>
      <c r="B16">
        <v>92</v>
      </c>
      <c r="C16">
        <v>238.5</v>
      </c>
      <c r="D16">
        <v>1</v>
      </c>
      <c r="E16">
        <v>1950</v>
      </c>
      <c r="F16">
        <v>3</v>
      </c>
      <c r="G16">
        <v>0</v>
      </c>
      <c r="I16">
        <v>73</v>
      </c>
      <c r="J16">
        <v>26.71</v>
      </c>
      <c r="K16" s="2">
        <v>8.16</v>
      </c>
      <c r="L16">
        <v>19.600000000000001</v>
      </c>
      <c r="N16" s="9">
        <v>0</v>
      </c>
      <c r="P16">
        <v>0.67123287671232867</v>
      </c>
    </row>
    <row r="17" spans="1:16" x14ac:dyDescent="0.3">
      <c r="A17" t="s">
        <v>28</v>
      </c>
      <c r="B17">
        <v>25</v>
      </c>
      <c r="C17">
        <v>84.2</v>
      </c>
      <c r="D17">
        <v>0</v>
      </c>
      <c r="E17">
        <v>772</v>
      </c>
      <c r="F17">
        <v>1</v>
      </c>
      <c r="G17">
        <v>0</v>
      </c>
      <c r="I17">
        <v>33</v>
      </c>
      <c r="J17">
        <v>23.29</v>
      </c>
      <c r="K17" s="2">
        <v>9.15</v>
      </c>
      <c r="L17">
        <v>15.3</v>
      </c>
      <c r="N17" s="9">
        <v>0</v>
      </c>
      <c r="P17">
        <v>0.90395480225988678</v>
      </c>
    </row>
    <row r="18" spans="1:16" x14ac:dyDescent="0.3">
      <c r="A18" t="s">
        <v>29</v>
      </c>
      <c r="B18">
        <v>21</v>
      </c>
      <c r="C18">
        <v>36.299999999999997</v>
      </c>
      <c r="D18">
        <v>0</v>
      </c>
      <c r="E18">
        <v>360</v>
      </c>
      <c r="F18">
        <v>0</v>
      </c>
      <c r="G18">
        <v>0</v>
      </c>
      <c r="I18">
        <v>8</v>
      </c>
      <c r="J18">
        <v>45</v>
      </c>
      <c r="K18" s="2">
        <v>9.86</v>
      </c>
      <c r="L18">
        <v>27.3</v>
      </c>
      <c r="N18" s="9">
        <v>0.82792123192584754</v>
      </c>
      <c r="P18">
        <v>0.71638676122931566</v>
      </c>
    </row>
    <row r="19" spans="1:16" x14ac:dyDescent="0.3">
      <c r="A19" t="s">
        <v>30</v>
      </c>
      <c r="B19">
        <v>43</v>
      </c>
      <c r="C19">
        <v>134.30000000000001</v>
      </c>
      <c r="D19">
        <v>1</v>
      </c>
      <c r="E19">
        <v>968</v>
      </c>
      <c r="F19">
        <v>0</v>
      </c>
      <c r="G19">
        <v>0</v>
      </c>
      <c r="I19">
        <v>34</v>
      </c>
      <c r="J19">
        <v>28.47</v>
      </c>
      <c r="K19" s="2">
        <v>7.19</v>
      </c>
      <c r="L19">
        <v>23.7</v>
      </c>
      <c r="N19" s="9">
        <v>0</v>
      </c>
      <c r="P19">
        <v>0.98446628079149423</v>
      </c>
    </row>
    <row r="20" spans="1:16" x14ac:dyDescent="0.3">
      <c r="A20" t="s">
        <v>31</v>
      </c>
      <c r="B20">
        <v>5</v>
      </c>
      <c r="C20">
        <v>20</v>
      </c>
      <c r="D20">
        <v>0</v>
      </c>
      <c r="E20">
        <v>220</v>
      </c>
      <c r="F20">
        <v>0</v>
      </c>
      <c r="G20">
        <v>0</v>
      </c>
      <c r="I20">
        <v>8</v>
      </c>
      <c r="J20">
        <v>27.5</v>
      </c>
      <c r="K20" s="2">
        <v>11</v>
      </c>
      <c r="L20">
        <v>15</v>
      </c>
      <c r="N20" s="9">
        <v>7.2078768074154129E-2</v>
      </c>
      <c r="P20" t="s">
        <v>59</v>
      </c>
    </row>
    <row r="21" spans="1:16" x14ac:dyDescent="0.3">
      <c r="A21" t="s">
        <v>32</v>
      </c>
      <c r="B21">
        <v>14</v>
      </c>
      <c r="C21">
        <v>43.5</v>
      </c>
      <c r="D21">
        <v>0</v>
      </c>
      <c r="E21">
        <v>412</v>
      </c>
      <c r="F21">
        <v>0</v>
      </c>
      <c r="G21">
        <v>0</v>
      </c>
      <c r="I21">
        <v>12</v>
      </c>
      <c r="J21">
        <v>34.33</v>
      </c>
      <c r="K21" s="2">
        <v>9.39</v>
      </c>
      <c r="L21">
        <v>21.9</v>
      </c>
      <c r="N21" s="9">
        <v>0</v>
      </c>
      <c r="P21">
        <v>0.82403965303593696</v>
      </c>
    </row>
    <row r="22" spans="1:16" x14ac:dyDescent="0.3">
      <c r="A22" t="s">
        <v>33</v>
      </c>
      <c r="B22">
        <v>19</v>
      </c>
      <c r="C22">
        <v>68.2</v>
      </c>
      <c r="D22">
        <v>1</v>
      </c>
      <c r="E22">
        <v>554</v>
      </c>
      <c r="F22">
        <v>1</v>
      </c>
      <c r="G22">
        <v>0</v>
      </c>
      <c r="I22">
        <v>15</v>
      </c>
      <c r="J22">
        <v>36.93</v>
      </c>
      <c r="K22" s="2">
        <v>8.1</v>
      </c>
      <c r="L22">
        <v>27.3</v>
      </c>
      <c r="N22" s="9">
        <v>0</v>
      </c>
      <c r="P22">
        <v>0.8767053248534743</v>
      </c>
    </row>
    <row r="23" spans="1:16" x14ac:dyDescent="0.3">
      <c r="A23" t="s">
        <v>34</v>
      </c>
      <c r="B23">
        <v>9</v>
      </c>
      <c r="C23">
        <v>9.1</v>
      </c>
      <c r="D23">
        <v>0</v>
      </c>
      <c r="E23">
        <v>75</v>
      </c>
      <c r="F23">
        <v>0</v>
      </c>
      <c r="G23">
        <v>0</v>
      </c>
      <c r="I23">
        <v>5</v>
      </c>
      <c r="J23">
        <v>15</v>
      </c>
      <c r="K23" s="2">
        <v>8.18</v>
      </c>
      <c r="L23">
        <v>11</v>
      </c>
      <c r="N23" s="9">
        <v>0</v>
      </c>
      <c r="P23" t="s">
        <v>59</v>
      </c>
    </row>
    <row r="24" spans="1:16" x14ac:dyDescent="0.3">
      <c r="A24" t="s">
        <v>35</v>
      </c>
      <c r="B24">
        <v>6</v>
      </c>
      <c r="C24">
        <v>22</v>
      </c>
      <c r="D24">
        <v>0</v>
      </c>
      <c r="E24">
        <v>167</v>
      </c>
      <c r="F24">
        <v>0</v>
      </c>
      <c r="G24">
        <v>0</v>
      </c>
      <c r="I24">
        <v>7</v>
      </c>
      <c r="J24">
        <v>23.85</v>
      </c>
      <c r="K24" s="2">
        <v>7.59</v>
      </c>
      <c r="L24">
        <v>18.8</v>
      </c>
      <c r="N24" s="9">
        <v>0</v>
      </c>
      <c r="P24" t="s">
        <v>59</v>
      </c>
    </row>
    <row r="25" spans="1:16" x14ac:dyDescent="0.3">
      <c r="N25" s="9"/>
    </row>
    <row r="26" spans="1:16" x14ac:dyDescent="0.3">
      <c r="A26" t="s">
        <v>48</v>
      </c>
      <c r="N26" s="14">
        <f>SUM(N2:N24)</f>
        <v>1.0000000000000016</v>
      </c>
    </row>
    <row r="27" spans="1:16" x14ac:dyDescent="0.3">
      <c r="A27" t="s">
        <v>49</v>
      </c>
      <c r="B27" s="5">
        <v>20</v>
      </c>
      <c r="K27" t="s">
        <v>54</v>
      </c>
    </row>
    <row r="28" spans="1:16" x14ac:dyDescent="0.3">
      <c r="A28" s="10" t="s">
        <v>50</v>
      </c>
      <c r="K28" t="s">
        <v>55</v>
      </c>
    </row>
    <row r="29" spans="1:16" x14ac:dyDescent="0.3">
      <c r="A29" s="11" t="s">
        <v>0</v>
      </c>
      <c r="B29" s="11">
        <f>SUMPRODUCT($N$2:$N$24,B2:B24)</f>
        <v>23.946739710813564</v>
      </c>
      <c r="C29" t="s">
        <v>52</v>
      </c>
      <c r="D29" s="5" cm="1">
        <f t="array" ref="D29">INDEX(B2:B24,B27,1)</f>
        <v>14</v>
      </c>
      <c r="K29" s="13">
        <v>1.1631703722688573</v>
      </c>
    </row>
    <row r="30" spans="1:16" x14ac:dyDescent="0.3">
      <c r="A30" s="11" t="s">
        <v>1</v>
      </c>
      <c r="B30" s="11">
        <f>SUMPRODUCT($N$2:$N$24,C2:C24)</f>
        <v>53.645116080391325</v>
      </c>
      <c r="C30" t="s">
        <v>52</v>
      </c>
      <c r="D30" s="5" cm="1">
        <f t="array" ref="D30">INDEX(C2:C24,B27,1)</f>
        <v>43.5</v>
      </c>
    </row>
    <row r="31" spans="1:16" x14ac:dyDescent="0.3">
      <c r="A31" s="11" t="s">
        <v>2</v>
      </c>
      <c r="B31" s="11">
        <f>SUMPRODUCT($N$2:$N$24,D2:D24)</f>
        <v>0.99999999999999911</v>
      </c>
      <c r="C31" t="s">
        <v>52</v>
      </c>
      <c r="D31" s="5" cm="1">
        <f t="array" ref="D31">INDEX(D2:D24,B27,1)</f>
        <v>0</v>
      </c>
    </row>
    <row r="32" spans="1:16" x14ac:dyDescent="0.3">
      <c r="A32" s="11" t="s">
        <v>3</v>
      </c>
      <c r="B32" s="11">
        <f>SUMPRODUCT($N$2:$N$24,E2:E24)</f>
        <v>459.40897246961885</v>
      </c>
      <c r="C32" t="s">
        <v>52</v>
      </c>
      <c r="D32" s="5" cm="1">
        <f t="array" ref="D32">INDEX(E2:E24,B27,1)</f>
        <v>412</v>
      </c>
    </row>
    <row r="33" spans="1:4" x14ac:dyDescent="0.3">
      <c r="A33" s="11" t="s">
        <v>4</v>
      </c>
      <c r="B33" s="11">
        <f>SUMPRODUCT($N$2:$N$24,F2:F24)</f>
        <v>0</v>
      </c>
      <c r="C33" t="s">
        <v>52</v>
      </c>
      <c r="D33" s="5" cm="1">
        <f t="array" ref="D33">INDEX(F2:F24,B27,1)</f>
        <v>0</v>
      </c>
    </row>
    <row r="34" spans="1:4" x14ac:dyDescent="0.3">
      <c r="A34" s="11" t="s">
        <v>5</v>
      </c>
      <c r="B34" s="11">
        <f>SUMPRODUCT($N$2:$N$24,G2:G24)</f>
        <v>0</v>
      </c>
      <c r="C34" t="s">
        <v>52</v>
      </c>
      <c r="D34" s="5" cm="1">
        <f t="array" ref="D34">INDEX(G2:G24,B27,1)</f>
        <v>0</v>
      </c>
    </row>
    <row r="35" spans="1:4" x14ac:dyDescent="0.3">
      <c r="A35" s="12" t="s">
        <v>6</v>
      </c>
      <c r="B35" s="12">
        <f>SUMPRODUCT($N$2:$N$24,I2:I24)</f>
        <v>14.600000000000007</v>
      </c>
      <c r="C35" t="s">
        <v>53</v>
      </c>
      <c r="D35" s="5" cm="1">
        <f t="array" ref="D35">K29*INDEX(I2:I24,B27,1)</f>
        <v>13.958044467226287</v>
      </c>
    </row>
    <row r="36" spans="1:4" x14ac:dyDescent="0.3">
      <c r="A36" s="12" t="s">
        <v>7</v>
      </c>
      <c r="B36" s="12">
        <f>SUMPRODUCT($N$2:$N$24,J2:J24)</f>
        <v>41.204621558702378</v>
      </c>
      <c r="C36" t="s">
        <v>53</v>
      </c>
      <c r="D36" s="5" cm="1">
        <f t="array" ref="D36">K29*INDEX(J2:J24,B27,1)</f>
        <v>39.931638879989869</v>
      </c>
    </row>
    <row r="37" spans="1:4" x14ac:dyDescent="0.3">
      <c r="A37" s="12" t="s">
        <v>51</v>
      </c>
      <c r="B37" s="12">
        <f>SUMPRODUCT($N$2:$N$24,K2:K24)</f>
        <v>10.92216979560455</v>
      </c>
      <c r="C37" t="s">
        <v>53</v>
      </c>
      <c r="D37" s="5" cm="1">
        <f t="array" ref="D37">K29*INDEX(K2:K24,B27,1)</f>
        <v>10.922169795604571</v>
      </c>
    </row>
    <row r="38" spans="1:4" x14ac:dyDescent="0.3">
      <c r="A38" s="12" t="s">
        <v>9</v>
      </c>
      <c r="B38" s="12">
        <f>SUMPRODUCT($N$2:$N$24,L2:L24)</f>
        <v>25.473431152687951</v>
      </c>
      <c r="C38" t="s">
        <v>53</v>
      </c>
      <c r="D38" s="5" cm="1">
        <f t="array" ref="D38">K29*INDEX(L2:L24,B27,1)</f>
        <v>25.473431152687972</v>
      </c>
    </row>
    <row r="39" spans="1:4" x14ac:dyDescent="0.3">
      <c r="A39" s="15" t="s">
        <v>56</v>
      </c>
      <c r="B39" s="15" cm="1">
        <f t="array" ref="B39">INDEX(N2:N24,B27,1)</f>
        <v>0</v>
      </c>
      <c r="C39" t="s">
        <v>57</v>
      </c>
      <c r="D39" s="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Multiplier-Input Oriented Model</vt:lpstr>
      <vt:lpstr>Multiplier-Input Oriented - Imp</vt:lpstr>
      <vt:lpstr>Multiplier-Output Oriented</vt:lpstr>
      <vt:lpstr>Envelopment Model-Input Oriente</vt:lpstr>
      <vt:lpstr>Envelopment Model-Output Orient</vt:lpstr>
      <vt:lpstr>Envelopment Model-Input (Sup Ef</vt:lpstr>
      <vt:lpstr>Envelopment Model-Output Super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Ishan Ratnakar Deshpande</dc:creator>
  <cp:lastModifiedBy>Ishan Ratnakar Deshpande</cp:lastModifiedBy>
  <dcterms:created xsi:type="dcterms:W3CDTF">2024-04-13T23:14:00Z</dcterms:created>
  <dcterms:modified xsi:type="dcterms:W3CDTF">2024-04-21T04:35:25Z</dcterms:modified>
</cp:coreProperties>
</file>